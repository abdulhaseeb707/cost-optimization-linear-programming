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Inputs" sheetId="2" state="visible" r:id="rId2"/>
    <sheet name="Model" sheetId="3" state="visible" r:id="rId3"/>
    <sheet name="Baseline" sheetId="4" state="visible" r:id="rId4"/>
    <sheet name="Results" sheetId="5" state="visible" r:id="rId5"/>
  </sheets>
  <definedNames>
    <definedName name="solver_opt" localSheetId="2" hidden="1">Model!$B$13</definedName>
    <definedName name="solver_typ" localSheetId="2" hidden="1">2</definedName>
    <definedName name="solver_val" localSheetId="2" hidden="1">0</definedName>
    <definedName name="solver_adj" localSheetId="2" hidden="1">Model!$B$5:$E$10</definedName>
    <definedName name="solver_num" localSheetId="2" hidden="1">4</definedName>
    <definedName name="solver_lhs1" localSheetId="2" hidden="1">Model!$B$17:$E$17</definedName>
    <definedName name="solver_rel1" localSheetId="2" hidden="1">3</definedName>
    <definedName name="solver_rhs1" localSheetId="2" hidden="1">Model!$B$18:$E$18</definedName>
    <definedName name="solver_lhs2" localSheetId="2" hidden="1">Model!$B$19:$E$19</definedName>
    <definedName name="solver_rel2" localSheetId="2" hidden="1">1</definedName>
    <definedName name="solver_rhs2" localSheetId="2" hidden="1">0</definedName>
    <definedName name="solver_lhs3" localSheetId="2" hidden="1">Model!$B$22:$E$22</definedName>
    <definedName name="solver_rel3" localSheetId="2" hidden="1">1</definedName>
    <definedName name="solver_rhs3" localSheetId="2" hidden="1">0</definedName>
    <definedName name="solver_lhs4" localSheetId="2" hidden="1">Model!$F$5:$F$10</definedName>
    <definedName name="solver_rel4" localSheetId="2" hidden="1">1</definedName>
    <definedName name="solver_rhs4" localSheetId="2" hidden="1">Model!$G$5:$G$10</definedName>
    <definedName name="solver_neg" localSheetId="2" hidden="1">1</definedName>
    <definedName name="solver_eng" localSheetId="2" hidden="1">2</definedName>
    <definedName name="solver_ver" localSheetId="2" hidden="1">3</definedName>
  </definedNames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Haseeb Khan</author>
  </authors>
  <commentList>
    <comment ref="D6" authorId="0" shapeId="0">
      <text>
        <r>
          <rPr>
            <sz val="9"/>
            <color rgb="FF000000"/>
            <name val="Tahoma"/>
          </rPr>
          <t xml:space="preserve">NCV 6000 (S17); converted in R/01_build_dataset.R</t>
        </r>
      </text>
    </comment>
    <comment ref="E6" authorId="0" shapeId="0">
      <text>
        <r>
          <rPr>
            <sz val="9"/>
            <color rgb="FF000000"/>
            <name val="Tahoma"/>
          </rPr>
          <t xml:space="preserve">Source S17</t>
        </r>
      </text>
    </comment>
    <comment ref="F6" authorId="0" shapeId="0">
      <text>
        <r>
          <rPr>
            <sz val="9"/>
            <color rgb="FF000000"/>
            <name val="Tahoma"/>
          </rPr>
          <t xml:space="preserve">Simulated (S)</t>
        </r>
      </text>
    </comment>
    <comment ref="G6" authorId="0" shapeId="0">
      <text>
        <r>
          <rPr>
            <sz val="9"/>
            <color rgb="FF000000"/>
            <name val="Tahoma"/>
          </rPr>
          <t xml:space="preserve">C: S7 high price (delivered north, A) minus avg freight Torkham-&gt;north plants</t>
        </r>
      </text>
    </comment>
    <comment ref="D7" authorId="0" shapeId="0">
      <text>
        <r>
          <rPr>
            <sz val="9"/>
            <color rgb="FF000000"/>
            <name val="Tahoma"/>
          </rPr>
          <t xml:space="preserve">GCV 6158 (S15); converted in R/01_build_dataset.R</t>
        </r>
      </text>
    </comment>
    <comment ref="E7" authorId="0" shapeId="0">
      <text>
        <r>
          <rPr>
            <sz val="9"/>
            <color rgb="FF000000"/>
            <name val="Tahoma"/>
          </rPr>
          <t xml:space="preserve">Source S15</t>
        </r>
      </text>
    </comment>
    <comment ref="F7" authorId="0" shapeId="0">
      <text>
        <r>
          <rPr>
            <sz val="9"/>
            <color rgb="FF000000"/>
            <name val="Tahoma"/>
          </rPr>
          <t xml:space="preserve">Simulated (S)</t>
        </r>
      </text>
    </comment>
    <comment ref="G7" authorId="0" shapeId="0">
      <text>
        <r>
          <rPr>
            <sz val="9"/>
            <color rgb="FF000000"/>
            <name val="Tahoma"/>
          </rPr>
          <t xml:space="preserve">C: S7 low price (delivered north, A) minus avg freight Duki-&gt;north plants</t>
        </r>
      </text>
    </comment>
    <comment ref="D8" authorId="0" shapeId="0">
      <text>
        <r>
          <rPr>
            <sz val="9"/>
            <color rgb="FF000000"/>
            <name val="Tahoma"/>
          </rPr>
          <t xml:space="preserve">GCV 4972 (S24); converted in R/01_build_dataset.R</t>
        </r>
      </text>
    </comment>
    <comment ref="E8" authorId="0" shapeId="0">
      <text>
        <r>
          <rPr>
            <sz val="9"/>
            <color rgb="FF000000"/>
            <name val="Tahoma"/>
          </rPr>
          <t xml:space="preserve">Source S24</t>
        </r>
      </text>
    </comment>
    <comment ref="F8" authorId="0" shapeId="0">
      <text>
        <r>
          <rPr>
            <sz val="9"/>
            <color rgb="FF000000"/>
            <name val="Tahoma"/>
          </rPr>
          <t xml:space="preserve">Simulated (S)</t>
        </r>
      </text>
    </comment>
    <comment ref="G8" authorId="0" shapeId="0">
      <text>
        <r>
          <rPr>
            <sz val="9"/>
            <color rgb="FF000000"/>
            <name val="Tahoma"/>
          </rPr>
          <t xml:space="preserve">C: Balochistan ex-mine price scaled by NCV ratio (equal price per GJ, A)</t>
        </r>
      </text>
    </comment>
    <comment ref="D9" authorId="0" shapeId="0">
      <text>
        <r>
          <rPr>
            <sz val="9"/>
            <color rgb="FF000000"/>
            <name val="Tahoma"/>
          </rPr>
          <t xml:space="preserve">GCV 6290 (S15); converted in R/01_build_dataset.R</t>
        </r>
      </text>
    </comment>
    <comment ref="E9" authorId="0" shapeId="0">
      <text>
        <r>
          <rPr>
            <sz val="9"/>
            <color rgb="FF000000"/>
            <name val="Tahoma"/>
          </rPr>
          <t xml:space="preserve">Source S15</t>
        </r>
      </text>
    </comment>
    <comment ref="F9" authorId="0" shapeId="0">
      <text>
        <r>
          <rPr>
            <sz val="9"/>
            <color rgb="FF000000"/>
            <name val="Tahoma"/>
          </rPr>
          <t xml:space="preserve">Simulated (S)</t>
        </r>
      </text>
    </comment>
    <comment ref="G9" authorId="0" shapeId="0">
      <text>
        <r>
          <rPr>
            <sz val="9"/>
            <color rgb="FF000000"/>
            <name val="Tahoma"/>
          </rPr>
          <t xml:space="preserve">C: FY25 FOB (S14, C) + sea freight (A) x FX (A) + port handling (A)</t>
        </r>
      </text>
    </comment>
    <comment ref="D10" authorId="0" shapeId="0">
      <text>
        <r>
          <rPr>
            <sz val="9"/>
            <color rgb="FF000000"/>
            <name val="Tahoma"/>
          </rPr>
          <t xml:space="preserve">unspecified_MJ_kg 13.63 (S25); converted in R/01_build_dataset.R</t>
        </r>
      </text>
    </comment>
    <comment ref="E10" authorId="0" shapeId="0">
      <text>
        <r>
          <rPr>
            <sz val="9"/>
            <color rgb="FF000000"/>
            <name val="Tahoma"/>
          </rPr>
          <t xml:space="preserve">Source S25</t>
        </r>
      </text>
    </comment>
    <comment ref="F10" authorId="0" shapeId="0">
      <text>
        <r>
          <rPr>
            <sz val="9"/>
            <color rgb="FF000000"/>
            <name val="Tahoma"/>
          </rPr>
          <t xml:space="preserve">Simulated (S)</t>
        </r>
      </text>
    </comment>
    <comment ref="G10" authorId="0" shapeId="0">
      <text>
        <r>
          <rPr>
            <sz val="9"/>
            <color rgb="FF000000"/>
            <name val="Tahoma"/>
          </rPr>
          <t xml:space="preserve">S: Simulated delivered price incl. local collection</t>
        </r>
      </text>
    </comment>
    <comment ref="D11" authorId="0" shapeId="0">
      <text>
        <r>
          <rPr>
            <sz val="9"/>
            <color rgb="FF000000"/>
            <name val="Tahoma"/>
          </rPr>
          <t xml:space="preserve">NCV_MJ_kg 35.15 (S26); converted in R/01_build_dataset.R</t>
        </r>
      </text>
    </comment>
    <comment ref="E11" authorId="0" shapeId="0">
      <text>
        <r>
          <rPr>
            <sz val="9"/>
            <color rgb="FF000000"/>
            <name val="Tahoma"/>
          </rPr>
          <t xml:space="preserve">Source S26</t>
        </r>
      </text>
    </comment>
    <comment ref="F11" authorId="0" shapeId="0">
      <text>
        <r>
          <rPr>
            <sz val="9"/>
            <color rgb="FF000000"/>
            <name val="Tahoma"/>
          </rPr>
          <t xml:space="preserve">Simulated (S)</t>
        </r>
      </text>
    </comment>
    <comment ref="G11" authorId="0" shapeId="0">
      <text>
        <r>
          <rPr>
            <sz val="9"/>
            <color rgb="FF000000"/>
            <name val="Tahoma"/>
          </rPr>
          <t xml:space="preserve">S: Simulated delivered price incl. local collection</t>
        </r>
      </text>
    </comment>
    <comment ref="C15" authorId="0" shapeId="0">
      <text>
        <r>
          <rPr>
            <sz val="9"/>
            <color rgb="FF000000"/>
            <name val="Tahoma"/>
          </rPr>
          <t xml:space="preserve">V: FCCL Manufacturing Plants page (S20)</t>
        </r>
      </text>
    </comment>
    <comment ref="D15" authorId="0" shapeId="0">
      <text>
        <r>
          <rPr>
            <sz val="9"/>
            <color rgb="FF000000"/>
            <name val="Tahoma"/>
          </rPr>
          <t xml:space="preserve">C: company clinker x capacity share (R/01_build_dataset.R)</t>
        </r>
      </text>
    </comment>
    <comment ref="E15" authorId="0" shapeId="0">
      <text>
        <r>
          <rPr>
            <sz val="9"/>
            <color rgb="FF000000"/>
            <name val="Tahoma"/>
          </rPr>
          <t xml:space="preserve">C: clinker x 3.0295 GJ/t clinker (R/01_build_dataset.R)</t>
        </r>
      </text>
    </comment>
    <comment ref="C16" authorId="0" shapeId="0">
      <text>
        <r>
          <rPr>
            <sz val="9"/>
            <color rgb="FF000000"/>
            <name val="Tahoma"/>
          </rPr>
          <t xml:space="preserve">V: FCCL Manufacturing Plants page (S20)</t>
        </r>
      </text>
    </comment>
    <comment ref="D16" authorId="0" shapeId="0">
      <text>
        <r>
          <rPr>
            <sz val="9"/>
            <color rgb="FF000000"/>
            <name val="Tahoma"/>
          </rPr>
          <t xml:space="preserve">C: company clinker x capacity share (R/01_build_dataset.R)</t>
        </r>
      </text>
    </comment>
    <comment ref="E16" authorId="0" shapeId="0">
      <text>
        <r>
          <rPr>
            <sz val="9"/>
            <color rgb="FF000000"/>
            <name val="Tahoma"/>
          </rPr>
          <t xml:space="preserve">C: clinker x 3.0295 GJ/t clinker (R/01_build_dataset.R)</t>
        </r>
      </text>
    </comment>
    <comment ref="C17" authorId="0" shapeId="0">
      <text>
        <r>
          <rPr>
            <sz val="9"/>
            <color rgb="FF000000"/>
            <name val="Tahoma"/>
          </rPr>
          <t xml:space="preserve">V: FCCL Manufacturing Plants page (S20)</t>
        </r>
      </text>
    </comment>
    <comment ref="D17" authorId="0" shapeId="0">
      <text>
        <r>
          <rPr>
            <sz val="9"/>
            <color rgb="FF000000"/>
            <name val="Tahoma"/>
          </rPr>
          <t xml:space="preserve">C: company clinker x capacity share (R/01_build_dataset.R)</t>
        </r>
      </text>
    </comment>
    <comment ref="E17" authorId="0" shapeId="0">
      <text>
        <r>
          <rPr>
            <sz val="9"/>
            <color rgb="FF000000"/>
            <name val="Tahoma"/>
          </rPr>
          <t xml:space="preserve">C: clinker x 3.0295 GJ/t clinker (R/01_build_dataset.R)</t>
        </r>
      </text>
    </comment>
    <comment ref="C18" authorId="0" shapeId="0">
      <text>
        <r>
          <rPr>
            <sz val="9"/>
            <color rgb="FF000000"/>
            <name val="Tahoma"/>
          </rPr>
          <t xml:space="preserve">V: FCCL Manufacturing Plants page (S20)</t>
        </r>
      </text>
    </comment>
    <comment ref="D18" authorId="0" shapeId="0">
      <text>
        <r>
          <rPr>
            <sz val="9"/>
            <color rgb="FF000000"/>
            <name val="Tahoma"/>
          </rPr>
          <t xml:space="preserve">C: company clinker x capacity share (R/01_build_dataset.R)</t>
        </r>
      </text>
    </comment>
    <comment ref="E18" authorId="0" shapeId="0">
      <text>
        <r>
          <rPr>
            <sz val="9"/>
            <color rgb="FF000000"/>
            <name val="Tahoma"/>
          </rPr>
          <t xml:space="preserve">C: clinker x 3.0295 GJ/t clinker (R/01_build_dataset.R)</t>
        </r>
      </text>
    </comment>
    <comment ref="B37" authorId="0" shapeId="0">
      <text>
        <r>
          <rPr>
            <sz val="9"/>
            <color rgb="FF000000"/>
            <name val="Tahoma"/>
          </rPr>
          <t xml:space="preserve">C: 203.3 road km</t>
        </r>
      </text>
    </comment>
    <comment ref="C37" authorId="0" shapeId="0">
      <text>
        <r>
          <rPr>
            <sz val="9"/>
            <color rgb="FF000000"/>
            <name val="Tahoma"/>
          </rPr>
          <t xml:space="preserve">C: 216.9 road km</t>
        </r>
      </text>
    </comment>
    <comment ref="D37" authorId="0" shapeId="0">
      <text>
        <r>
          <rPr>
            <sz val="9"/>
            <color rgb="FF000000"/>
            <name val="Tahoma"/>
          </rPr>
          <t xml:space="preserve">C: 122.8 road km</t>
        </r>
      </text>
    </comment>
    <comment ref="E37" authorId="0" shapeId="0">
      <text>
        <r>
          <rPr>
            <sz val="9"/>
            <color rgb="FF000000"/>
            <name val="Tahoma"/>
          </rPr>
          <t xml:space="preserve">C: 593.1 road km</t>
        </r>
      </text>
    </comment>
    <comment ref="B38" authorId="0" shapeId="0">
      <text>
        <r>
          <rPr>
            <sz val="9"/>
            <color rgb="FF000000"/>
            <name val="Tahoma"/>
          </rPr>
          <t xml:space="preserve">C: 701.9 road km</t>
        </r>
      </text>
    </comment>
    <comment ref="C38" authorId="0" shapeId="0">
      <text>
        <r>
          <rPr>
            <sz val="9"/>
            <color rgb="FF000000"/>
            <name val="Tahoma"/>
          </rPr>
          <t xml:space="preserve">C: 737.2 road km</t>
        </r>
      </text>
    </comment>
    <comment ref="D38" authorId="0" shapeId="0">
      <text>
        <r>
          <rPr>
            <sz val="9"/>
            <color rgb="FF000000"/>
            <name val="Tahoma"/>
          </rPr>
          <t xml:space="preserve">C: 675.3 road km</t>
        </r>
      </text>
    </comment>
    <comment ref="E38" authorId="0" shapeId="0">
      <text>
        <r>
          <rPr>
            <sz val="9"/>
            <color rgb="FF000000"/>
            <name val="Tahoma"/>
          </rPr>
          <t xml:space="preserve">C: 259 road km</t>
        </r>
      </text>
    </comment>
    <comment ref="B39" authorId="0" shapeId="0">
      <text>
        <r>
          <rPr>
            <sz val="9"/>
            <color rgb="FF000000"/>
            <name val="Tahoma"/>
          </rPr>
          <t xml:space="preserve">C: 128.8 road km</t>
        </r>
      </text>
    </comment>
    <comment ref="C39" authorId="0" shapeId="0">
      <text>
        <r>
          <rPr>
            <sz val="9"/>
            <color rgb="FF000000"/>
            <name val="Tahoma"/>
          </rPr>
          <t xml:space="preserve">C: 149.3 road km</t>
        </r>
      </text>
    </comment>
    <comment ref="D39" authorId="0" shapeId="0">
      <text>
        <r>
          <rPr>
            <sz val="9"/>
            <color rgb="FF000000"/>
            <name val="Tahoma"/>
          </rPr>
          <t xml:space="preserve">C: 192.6 road km</t>
        </r>
      </text>
    </comment>
    <comment ref="E39" authorId="0" shapeId="0">
      <text>
        <r>
          <rPr>
            <sz val="9"/>
            <color rgb="FF000000"/>
            <name val="Tahoma"/>
          </rPr>
          <t xml:space="preserve">C: 482.5 road km</t>
        </r>
      </text>
    </comment>
    <comment ref="B40" authorId="0" shapeId="0">
      <text>
        <r>
          <rPr>
            <sz val="9"/>
            <color rgb="FF000000"/>
            <name val="Tahoma"/>
          </rPr>
          <t xml:space="preserve">C: 1435.4 road km</t>
        </r>
      </text>
    </comment>
    <comment ref="C40" authorId="0" shapeId="0">
      <text>
        <r>
          <rPr>
            <sz val="9"/>
            <color rgb="FF000000"/>
            <name val="Tahoma"/>
          </rPr>
          <t xml:space="preserve">C: 1469.9 road km</t>
        </r>
      </text>
    </comment>
    <comment ref="D40" authorId="0" shapeId="0">
      <text>
        <r>
          <rPr>
            <sz val="9"/>
            <color rgb="FF000000"/>
            <name val="Tahoma"/>
          </rPr>
          <t xml:space="preserve">C: 1430.4 road km</t>
        </r>
      </text>
    </comment>
    <comment ref="E40" authorId="0" shapeId="0">
      <text>
        <r>
          <rPr>
            <sz val="9"/>
            <color rgb="FF000000"/>
            <name val="Tahoma"/>
          </rPr>
          <t xml:space="preserve">C: 871.6 road km</t>
        </r>
      </text>
    </comment>
    <comment ref="B41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  <comment ref="C41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  <comment ref="D41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  <comment ref="E41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  <comment ref="B42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  <comment ref="C42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  <comment ref="D42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  <comment ref="E42" authorId="0" shapeId="0">
      <text>
        <r>
          <rPr>
            <sz val="9"/>
            <color rgb="FF000000"/>
            <name val="Tahoma"/>
          </rPr>
          <t xml:space="preserve">Alt fuels: freight in price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Haseeb Khan</author>
  </authors>
  <commentList>
    <comment ref="B29" authorId="0" shapeId="0">
      <text>
        <r>
          <rPr>
            <sz val="9"/>
            <color rgb="FF000000"/>
            <name val="Tahoma"/>
          </rPr>
          <t xml:space="preserve">results/summary.json</t>
        </r>
      </text>
    </comment>
  </commentList>
</comments>
</file>

<file path=xl/sharedStrings.xml><?xml version="1.0" encoding="utf-8"?>
<sst xmlns="http://schemas.openxmlformats.org/spreadsheetml/2006/main" count="159" uniqueCount="159">
  <si>
    <t xml:space="preserve">Kiln Fuel Blending Model (FY2025) - Excel Solver version</t>
  </si>
  <si>
    <t xml:space="preserve">Simulation anchored to public data. Not FCCL's actual procurement plan; FCCL did not use or endorse this model.</t>
  </si>
  <si>
    <t xml:space="preserve"/>
  </si>
  <si>
    <t xml:space="preserve">Colour legend</t>
  </si>
  <si>
    <t xml:space="preserve">Blue text = input (published, calculated in R/01_build_dataset.R, assumed or simulated - see cell notes and data/data_dictionary.csv)</t>
  </si>
  <si>
    <t xml:space="preserve">Black text = formula   |   Green text = link to another sheet   |   Yellow fill = decision variables Solver changes</t>
  </si>
  <si>
    <t xml:space="preserve">Sheets</t>
  </si>
  <si>
    <t xml:space="preserve">Inputs - fuel quality, capacities, prices, freight, heat demand, limits</t>
  </si>
  <si>
    <t xml:space="preserve">Model - decision variables (tonnes), objective (total cost) and every constraint</t>
  </si>
  <si>
    <t xml:space="preserve">Baseline - FY25 disclosed fuel mix applied at every plant (the comparison case)</t>
  </si>
  <si>
    <t xml:space="preserve">Results - baseline vs optimized, saving, allocation, shadow prices, R cross-check</t>
  </si>
  <si>
    <t xml:space="preserve">How to run Solver (Windows Excel)</t>
  </si>
  <si>
    <t xml:space="preserve">1. File &gt; Options &gt; Add-ins &gt; Manage Excel Add-ins &gt; Go &gt; tick Solver Add-in &gt; OK.</t>
  </si>
  <si>
    <t xml:space="preserve">2. On the Model sheet, select B5:E10 and press Delete (sets all decision variables to zero).</t>
  </si>
  <si>
    <t xml:space="preserve">3. Data &gt; Solver. Set Objective: $B$13. To: Min. By Changing Variable Cells: $B$5:$E$10.</t>
  </si>
  <si>
    <t xml:space="preserve">4. Add constraints:  $B$17:$E$17 &gt;= $B$18:$E$18 (heat)  |  $B$19:$E$19 &lt;= 0 (sulphur)  |  $B$22:$E$22 &lt;= 0 (alt-fuel cap)  |  $F$5:$F$10 &lt;= $G$5:$G$10 (supply).</t>
  </si>
  <si>
    <t xml:space="preserve">5. Tick 'Make Unconstrained Variables Non-Negative'. Select a Solving Method: Simplex LP. Click Solve.</t>
  </si>
  <si>
    <t xml:space="preserve">6. Choose 'Keep Solver Solution' and tick 'Sensitivity' under Reports to get shadow prices.</t>
  </si>
  <si>
    <t xml:space="preserve">7. Check Model!B30 (difference vs R). It should be about 0. A different biomass/tyre split per plant with the same cost is an alternative optimum.</t>
  </si>
  <si>
    <t xml:space="preserve">Steps 3-5 may already be filled in when you open Solver: the workbook stores these settings.</t>
  </si>
  <si>
    <t xml:space="preserve">No Excel? LibreOffice Calc: Tools &gt; Solver, same settings, engine 'LibreOffice Linear Solver'.</t>
  </si>
  <si>
    <t xml:space="preserve">Inputs - FY2025</t>
  </si>
  <si>
    <t xml:space="preserve">Sources and data types: references/sources.md and data/data_dictionary.csv. V = verified, C = calculated, A = assumption, S = simulated.</t>
  </si>
  <si>
    <t xml:space="preserve">Fuel sources</t>
  </si>
  <si>
    <t xml:space="preserve">ID</t>
  </si>
  <si>
    <t xml:space="preserve">Fuel</t>
  </si>
  <si>
    <t xml:space="preserve">Type</t>
  </si>
  <si>
    <t xml:space="preserve">NCV (GJ/t)</t>
  </si>
  <si>
    <t xml:space="preserve">Sulphur (%)</t>
  </si>
  <si>
    <t xml:space="preserve">Supply capacity (t/yr)</t>
  </si>
  <si>
    <t xml:space="preserve">Price at origin (Rs/t)</t>
  </si>
  <si>
    <t xml:space="preserve">Sulphur minus limit (coal only)</t>
  </si>
  <si>
    <t xml:space="preserve">Alt-fuel NCV (alt only)</t>
  </si>
  <si>
    <t xml:space="preserve">Data types</t>
  </si>
  <si>
    <t xml:space="preserve">AFG</t>
  </si>
  <si>
    <t xml:space="preserve">Afghan coal</t>
  </si>
  <si>
    <t xml:space="preserve">coal</t>
  </si>
  <si>
    <t xml:space="preserve">NCV/sulphur V or C; capacity S; price C</t>
  </si>
  <si>
    <t xml:space="preserve">BAL</t>
  </si>
  <si>
    <t xml:space="preserve">Local coal - Balochistan</t>
  </si>
  <si>
    <t xml:space="preserve">SRC</t>
  </si>
  <si>
    <t xml:space="preserve">Local coal - Salt Range</t>
  </si>
  <si>
    <t xml:space="preserve">IMP</t>
  </si>
  <si>
    <t xml:space="preserve">Imported coal (South African type)</t>
  </si>
  <si>
    <t xml:space="preserve">BIO</t>
  </si>
  <si>
    <t xml:space="preserve">Biomass (rice husk)</t>
  </si>
  <si>
    <t xml:space="preserve">alt_fuel</t>
  </si>
  <si>
    <t xml:space="preserve">NCV/sulphur V or C; capacity S; price S</t>
  </si>
  <si>
    <t xml:space="preserve">TDF</t>
  </si>
  <si>
    <t xml:space="preserve">Tyre-derived fuel</t>
  </si>
  <si>
    <t xml:space="preserve">Plants</t>
  </si>
  <si>
    <t xml:space="preserve">Plant</t>
  </si>
  <si>
    <t xml:space="preserve">Capacity (t/day)</t>
  </si>
  <si>
    <t xml:space="preserve">Clinker (t)</t>
  </si>
  <si>
    <t xml:space="preserve">Heat demand (GJ)</t>
  </si>
  <si>
    <t xml:space="preserve">JB</t>
  </si>
  <si>
    <t xml:space="preserve">Jhang Bahtar</t>
  </si>
  <si>
    <t xml:space="preserve">WAH</t>
  </si>
  <si>
    <t xml:space="preserve">Wah</t>
  </si>
  <si>
    <t xml:space="preserve">NZP</t>
  </si>
  <si>
    <t xml:space="preserve">Nizampur</t>
  </si>
  <si>
    <t xml:space="preserve">DGK</t>
  </si>
  <si>
    <t xml:space="preserve">Dera Ghazi Khan</t>
  </si>
  <si>
    <t xml:space="preserve">Total</t>
  </si>
  <si>
    <t xml:space="preserve">Parameters</t>
  </si>
  <si>
    <t xml:space="preserve">Parameter</t>
  </si>
  <si>
    <t xml:space="preserve">Value</t>
  </si>
  <si>
    <t xml:space="preserve">Unit</t>
  </si>
  <si>
    <t xml:space="preserve">Type / note</t>
  </si>
  <si>
    <t xml:space="preserve">Freight multiplier (scenario lever)</t>
  </si>
  <si>
    <t xml:space="preserve">x</t>
  </si>
  <si>
    <t xml:space="preserve">A: 1.00 = base case; 1.25 = freight +25%</t>
  </si>
  <si>
    <t xml:space="preserve">Sulphur limit, coal blend</t>
  </si>
  <si>
    <t xml:space="preserve">%</t>
  </si>
  <si>
    <t xml:space="preserve">C: baseline coal-blend sulphur (no dirtier than baseline)</t>
  </si>
  <si>
    <t xml:space="preserve">Max alt-fuel share of heat</t>
  </si>
  <si>
    <t xml:space="preserve">fraction</t>
  </si>
  <si>
    <t xml:space="preserve">A: technical cap</t>
  </si>
  <si>
    <t xml:space="preserve">Baseline alt-fuel share of heat</t>
  </si>
  <si>
    <t xml:space="preserve">V: FY25 thermal substitution rate (S19)</t>
  </si>
  <si>
    <t xml:space="preserve">Baseline tyre share of alt-fuel heat</t>
  </si>
  <si>
    <t xml:space="preserve">C: calibrated to 88,727 t alt fuels (S19)</t>
  </si>
  <si>
    <t xml:space="preserve">Baseline coal share - Afghan</t>
  </si>
  <si>
    <t xml:space="preserve">of coal mass</t>
  </si>
  <si>
    <t xml:space="preserve">V: FY25 25% Afghan (S7)</t>
  </si>
  <si>
    <t xml:space="preserve">Baseline coal share - Balochistan</t>
  </si>
  <si>
    <t xml:space="preserve">V 75% local (S7) x A 50% split</t>
  </si>
  <si>
    <t xml:space="preserve">Baseline coal share - Salt Range</t>
  </si>
  <si>
    <t xml:space="preserve">Baseline coal share - Imported</t>
  </si>
  <si>
    <t xml:space="preserve">None imported in FY25 baseline</t>
  </si>
  <si>
    <t xml:space="preserve">Freight to plant (Rs/t) - road km x Rs 6.92/t-km, rounded (R/01_build_dataset.R)</t>
  </si>
  <si>
    <t xml:space="preserve">Delivered cost (Rs/t) = price at origin + freight x multiplier  -&gt; objective coefficients</t>
  </si>
  <si>
    <t xml:space="preserve">Model - decision variables, objective, constraints</t>
  </si>
  <si>
    <t xml:space="preserve">Yellow cells B5:E10 = decision variables. They currently hold the optimum found in R; clear them and re-run Solver to reproduce.</t>
  </si>
  <si>
    <t xml:space="preserve">Tonnes delivered (t/yr)</t>
  </si>
  <si>
    <t xml:space="preserve">Total used</t>
  </si>
  <si>
    <t xml:space="preserve">Capacity</t>
  </si>
  <si>
    <t xml:space="preserve">Spare</t>
  </si>
  <si>
    <t xml:space="preserve">Objective</t>
  </si>
  <si>
    <t xml:space="preserve">Total fuel cost (Rs/yr)</t>
  </si>
  <si>
    <t xml:space="preserve">Cost per GJ of kiln heat (Rs/GJ)</t>
  </si>
  <si>
    <t xml:space="preserve">Constraints by plant</t>
  </si>
  <si>
    <t xml:space="preserve">Heat supplied (GJ)  [must be &gt;= row 18]</t>
  </si>
  <si>
    <t xml:space="preserve">Sulphur constraint value  [must be &lt;= 0]</t>
  </si>
  <si>
    <t xml:space="preserve">Coal-blend sulphur (%)</t>
  </si>
  <si>
    <t xml:space="preserve">Sulphur limit (%)</t>
  </si>
  <si>
    <t xml:space="preserve">Alt-fuel constraint value  [must be &lt;= 0]</t>
  </si>
  <si>
    <t xml:space="preserve">Alt-fuel share of heat</t>
  </si>
  <si>
    <t xml:space="preserve">Alt-fuel cap</t>
  </si>
  <si>
    <t xml:space="preserve">All plant constraints met?</t>
  </si>
  <si>
    <t xml:space="preserve">All supply limits met?</t>
  </si>
  <si>
    <t xml:space="preserve">Cross-check with R (R/02_optimization_model.R)</t>
  </si>
  <si>
    <t xml:space="preserve">R optimum (Rs/yr)</t>
  </si>
  <si>
    <t xml:space="preserve">Excel minus R (Rs/yr)</t>
  </si>
  <si>
    <t xml:space="preserve">Difference as % of R optimum</t>
  </si>
  <si>
    <t xml:space="preserve">R decision values are rounded to 0.001 t here, so a difference of a few rupees is expected.</t>
  </si>
  <si>
    <t xml:space="preserve">Baseline - FY25 disclosed fuel mix applied at every plant</t>
  </si>
  <si>
    <t xml:space="preserve">Alt fuels give 9.4% of heat (tyres 26% of that heat, biomass the rest); coal is 25% Afghan / 37.5% Balochistan / 37.5% Salt Range by mass.</t>
  </si>
  <si>
    <t xml:space="preserve">Coal-mix NCV (GJ/t)</t>
  </si>
  <si>
    <t xml:space="preserve">Results - baseline vs optimized (FY2025 simulation)</t>
  </si>
  <si>
    <t xml:space="preserve">Savings are measured against a rule-based baseline, not against FCCL's actual purchasing.</t>
  </si>
  <si>
    <t xml:space="preserve">Measure</t>
  </si>
  <si>
    <t xml:space="preserve">Baseline</t>
  </si>
  <si>
    <t xml:space="preserve">Optimized</t>
  </si>
  <si>
    <t xml:space="preserve">Difference</t>
  </si>
  <si>
    <t xml:space="preserve">% change</t>
  </si>
  <si>
    <t xml:space="preserve">Cost reduction (%) = (Baseline - Optimized) / Baseline</t>
  </si>
  <si>
    <t xml:space="preserve">Where the saving comes from (R, results/summary.json)</t>
  </si>
  <si>
    <t xml:space="preserve">Reallocating coal only (alt fuels fixed at baseline)</t>
  </si>
  <si>
    <t xml:space="preserve">Using more alternative fuel</t>
  </si>
  <si>
    <t xml:space="preserve">Baseline (t)</t>
  </si>
  <si>
    <t xml:space="preserve">Optimized (t)</t>
  </si>
  <si>
    <t xml:space="preserve">Change (t)</t>
  </si>
  <si>
    <t xml:space="preserve">Supply capacity (t)</t>
  </si>
  <si>
    <t xml:space="preserve">Shadow prices (R lpSolve; Excel gives the same in Solver's Sensitivity Report)</t>
  </si>
  <si>
    <t xml:space="preserve">Constraint</t>
  </si>
  <si>
    <t xml:space="preserve">Shadow price</t>
  </si>
  <si>
    <t xml:space="preserve">Meaning</t>
  </si>
  <si>
    <t xml:space="preserve">heat - JB</t>
  </si>
  <si>
    <t xml:space="preserve">Rs per GJ</t>
  </si>
  <si>
    <t xml:space="preserve">Cost of one more GJ of heat at this plant</t>
  </si>
  <si>
    <t xml:space="preserve">sulphur - JB</t>
  </si>
  <si>
    <t xml:space="preserve">Rs per %-tonne</t>
  </si>
  <si>
    <t xml:space="preserve">Cost change if the sulphur limit were loosened by one %-tonne</t>
  </si>
  <si>
    <t xml:space="preserve">altfuel - JB</t>
  </si>
  <si>
    <t xml:space="preserve">Cost change if the alt-fuel cap were loosened by one GJ (negative = saving)</t>
  </si>
  <si>
    <t xml:space="preserve">heat - WAH</t>
  </si>
  <si>
    <t xml:space="preserve">sulphur - WAH</t>
  </si>
  <si>
    <t xml:space="preserve">altfuel - WAH</t>
  </si>
  <si>
    <t xml:space="preserve">heat - NZP</t>
  </si>
  <si>
    <t xml:space="preserve">sulphur - NZP</t>
  </si>
  <si>
    <t xml:space="preserve">altfuel - NZP</t>
  </si>
  <si>
    <t xml:space="preserve">heat - DGK</t>
  </si>
  <si>
    <t xml:space="preserve">sulphur - DGK</t>
  </si>
  <si>
    <t xml:space="preserve">supply - SRC</t>
  </si>
  <si>
    <t xml:space="preserve">Rs per t</t>
  </si>
  <si>
    <t xml:space="preserve">Cost change if this source could supply one more tonne (negative = saving)</t>
  </si>
  <si>
    <t xml:space="preserve">supply - BIO</t>
  </si>
  <si>
    <t xml:space="preserve">supply - TDF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</si>
</sst>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5">
    <numFmt numFmtId="166" formatCode="0.000"/>
    <numFmt numFmtId="167" formatCode="0.00"/>
    <numFmt numFmtId="168" formatCode="#,##0;(#,##0);&quot;-&quot;"/>
    <numFmt numFmtId="169" formatCode="#,##0;(#,##0);&quot;-&quot;"/>
    <numFmt numFmtId="170" formatCode="0.0000"/>
    <numFmt numFmtId="171" formatCode="0.000"/>
    <numFmt numFmtId="172" formatCode="0.000"/>
    <numFmt numFmtId="173" formatCode="0.00"/>
    <numFmt numFmtId="174" formatCode="#,##0;(#,##0);&quot;-&quot;"/>
    <numFmt numFmtId="175" formatCode="#,##0;(#,##0);&quot;-&quot;"/>
    <numFmt numFmtId="176" formatCode="0.0000"/>
    <numFmt numFmtId="177" formatCode="0.000"/>
    <numFmt numFmtId="178" formatCode="0.000"/>
    <numFmt numFmtId="179" formatCode="0.00"/>
    <numFmt numFmtId="180" formatCode="#,##0;(#,##0);&quot;-&quot;"/>
    <numFmt numFmtId="181" formatCode="#,##0;(#,##0);&quot;-&quot;"/>
    <numFmt numFmtId="182" formatCode="0.0000"/>
    <numFmt numFmtId="183" formatCode="0.000"/>
    <numFmt numFmtId="184" formatCode="0.000"/>
    <numFmt numFmtId="185" formatCode="0.00"/>
    <numFmt numFmtId="186" formatCode="#,##0;(#,##0);&quot;-&quot;"/>
    <numFmt numFmtId="187" formatCode="#,##0;(#,##0);&quot;-&quot;"/>
    <numFmt numFmtId="188" formatCode="0.0000"/>
    <numFmt numFmtId="189" formatCode="0.000"/>
    <numFmt numFmtId="190" formatCode="0.000"/>
    <numFmt numFmtId="191" formatCode="0.00"/>
    <numFmt numFmtId="192" formatCode="#,##0;(#,##0);&quot;-&quot;"/>
    <numFmt numFmtId="193" formatCode="#,##0;(#,##0);&quot;-&quot;"/>
    <numFmt numFmtId="194" formatCode="0.0000"/>
    <numFmt numFmtId="195" formatCode="0.000"/>
    <numFmt numFmtId="196" formatCode="0.000"/>
    <numFmt numFmtId="197" formatCode="0.00"/>
    <numFmt numFmtId="198" formatCode="#,##0;(#,##0);&quot;-&quot;"/>
    <numFmt numFmtId="199" formatCode="#,##0;(#,##0);&quot;-&quot;"/>
    <numFmt numFmtId="200" formatCode="0.0000"/>
    <numFmt numFmtId="201" formatCode="0.000"/>
    <numFmt numFmtId="202" formatCode="#,##0;(#,##0);&quot;-&quot;"/>
    <numFmt numFmtId="203" formatCode="#,##0;(#,##0);&quot;-&quot;"/>
    <numFmt numFmtId="204" formatCode="#,##0;(#,##0);&quot;-&quot;"/>
    <numFmt numFmtId="205" formatCode="#,##0;(#,##0);&quot;-&quot;"/>
    <numFmt numFmtId="206" formatCode="#,##0;(#,##0);&quot;-&quot;"/>
    <numFmt numFmtId="207" formatCode="#,##0;(#,##0);&quot;-&quot;"/>
    <numFmt numFmtId="208" formatCode="#,##0;(#,##0);&quot;-&quot;"/>
    <numFmt numFmtId="209" formatCode="#,##0;(#,##0);&quot;-&quot;"/>
    <numFmt numFmtId="210" formatCode="#,##0;(#,##0);&quot;-&quot;"/>
    <numFmt numFmtId="211" formatCode="#,##0;(#,##0);&quot;-&quot;"/>
    <numFmt numFmtId="212" formatCode="#,##0;(#,##0);&quot;-&quot;"/>
    <numFmt numFmtId="213" formatCode="#,##0;(#,##0);&quot;-&quot;"/>
    <numFmt numFmtId="214" formatCode="#,##0;(#,##0);&quot;-&quot;"/>
    <numFmt numFmtId="215" formatCode="0.0000"/>
    <numFmt numFmtId="216" formatCode="0.0000"/>
    <numFmt numFmtId="217" formatCode="0.0000"/>
    <numFmt numFmtId="218" formatCode="0.0000"/>
    <numFmt numFmtId="219" formatCode="0.0000"/>
    <numFmt numFmtId="220" formatCode="0.0000"/>
    <numFmt numFmtId="221" formatCode="0.0000"/>
    <numFmt numFmtId="222" formatCode="0.0000"/>
    <numFmt numFmtId="223" formatCode="0.0000"/>
    <numFmt numFmtId="224" formatCode="#,##0;(#,##0);&quot;-&quot;"/>
    <numFmt numFmtId="225" formatCode="#,##0;(#,##0);&quot;-&quot;"/>
    <numFmt numFmtId="226" formatCode="#,##0;(#,##0);&quot;-&quot;"/>
    <numFmt numFmtId="227" formatCode="#,##0;(#,##0);&quot;-&quot;"/>
    <numFmt numFmtId="228" formatCode="#,##0;(#,##0);&quot;-&quot;"/>
    <numFmt numFmtId="229" formatCode="#,##0;(#,##0);&quot;-&quot;"/>
    <numFmt numFmtId="230" formatCode="#,##0;(#,##0);&quot;-&quot;"/>
    <numFmt numFmtId="231" formatCode="#,##0;(#,##0);&quot;-&quot;"/>
    <numFmt numFmtId="232" formatCode="#,##0;(#,##0);&quot;-&quot;"/>
    <numFmt numFmtId="233" formatCode="#,##0;(#,##0);&quot;-&quot;"/>
    <numFmt numFmtId="234" formatCode="#,##0;(#,##0);&quot;-&quot;"/>
    <numFmt numFmtId="235" formatCode="#,##0;(#,##0);&quot;-&quot;"/>
    <numFmt numFmtId="236" formatCode="#,##0;(#,##0);&quot;-&quot;"/>
    <numFmt numFmtId="237" formatCode="#,##0;(#,##0);&quot;-&quot;"/>
    <numFmt numFmtId="238" formatCode="#,##0;(#,##0);&quot;-&quot;"/>
    <numFmt numFmtId="239" formatCode="#,##0;(#,##0);&quot;-&quot;"/>
    <numFmt numFmtId="240" formatCode="#,##0;(#,##0);&quot;-&quot;"/>
    <numFmt numFmtId="241" formatCode="#,##0;(#,##0);&quot;-&quot;"/>
    <numFmt numFmtId="242" formatCode="#,##0;(#,##0);&quot;-&quot;"/>
    <numFmt numFmtId="243" formatCode="#,##0;(#,##0);&quot;-&quot;"/>
    <numFmt numFmtId="244" formatCode="#,##0;(#,##0);&quot;-&quot;"/>
    <numFmt numFmtId="245" formatCode="#,##0;(#,##0);&quot;-&quot;"/>
    <numFmt numFmtId="246" formatCode="#,##0;(#,##0);&quot;-&quot;"/>
    <numFmt numFmtId="247" formatCode="#,##0;(#,##0);&quot;-&quot;"/>
    <numFmt numFmtId="248" formatCode="#,##0;(#,##0);&quot;-&quot;"/>
    <numFmt numFmtId="249" formatCode="#,##0;(#,##0);&quot;-&quot;"/>
    <numFmt numFmtId="250" formatCode="#,##0;(#,##0);&quot;-&quot;"/>
    <numFmt numFmtId="251" formatCode="#,##0;(#,##0);&quot;-&quot;"/>
    <numFmt numFmtId="252" formatCode="#,##0;(#,##0);&quot;-&quot;"/>
    <numFmt numFmtId="253" formatCode="#,##0;(#,##0);&quot;-&quot;"/>
    <numFmt numFmtId="254" formatCode="#,##0;(#,##0);&quot;-&quot;"/>
    <numFmt numFmtId="255" formatCode="#,##0;(#,##0);&quot;-&quot;"/>
    <numFmt numFmtId="256" formatCode="#,##0;(#,##0);&quot;-&quot;"/>
    <numFmt numFmtId="257" formatCode="#,##0;(#,##0);&quot;-&quot;"/>
    <numFmt numFmtId="258" formatCode="#,##0;(#,##0);&quot;-&quot;"/>
    <numFmt numFmtId="259" formatCode="#,##0;(#,##0);&quot;-&quot;"/>
    <numFmt numFmtId="260" formatCode="#,##0;(#,##0);&quot;-&quot;"/>
    <numFmt numFmtId="261" formatCode="#,##0;(#,##0);&quot;-&quot;"/>
    <numFmt numFmtId="262" formatCode="#,##0;(#,##0);&quot;-&quot;"/>
    <numFmt numFmtId="263" formatCode="#,##0;(#,##0);&quot;-&quot;"/>
    <numFmt numFmtId="264" formatCode="#,##0;(#,##0);&quot;-&quot;"/>
    <numFmt numFmtId="265" formatCode="#,##0;(#,##0);&quot;-&quot;"/>
    <numFmt numFmtId="266" formatCode="#,##0;(#,##0);&quot;-&quot;"/>
    <numFmt numFmtId="267" formatCode="#,##0;(#,##0);&quot;-&quot;"/>
    <numFmt numFmtId="268" formatCode="#,##0;(#,##0);&quot;-&quot;"/>
    <numFmt numFmtId="269" formatCode="#,##0;(#,##0);&quot;-&quot;"/>
    <numFmt numFmtId="270" formatCode="#,##0;(#,##0);&quot;-&quot;"/>
    <numFmt numFmtId="271" formatCode="#,##0;(#,##0);&quot;-&quot;"/>
    <numFmt numFmtId="272" formatCode="#,##0;(#,##0);&quot;-&quot;"/>
    <numFmt numFmtId="273" formatCode="#,##0;(#,##0);&quot;-&quot;"/>
    <numFmt numFmtId="274" formatCode="#,##0;(#,##0);&quot;-&quot;"/>
    <numFmt numFmtId="275" formatCode="#,##0;(#,##0);&quot;-&quot;"/>
    <numFmt numFmtId="276" formatCode="#,##0;(#,##0);&quot;-&quot;"/>
    <numFmt numFmtId="277" formatCode="#,##0;(#,##0);&quot;-&quot;"/>
    <numFmt numFmtId="278" formatCode="#,##0;(#,##0);&quot;-&quot;"/>
    <numFmt numFmtId="279" formatCode="#,##0;(#,##0);&quot;-&quot;"/>
    <numFmt numFmtId="280" formatCode="#,##0;(#,##0);&quot;-&quot;"/>
    <numFmt numFmtId="281" formatCode="#,##0;(#,##0);&quot;-&quot;"/>
    <numFmt numFmtId="282" formatCode="#,##0;(#,##0);&quot;-&quot;"/>
    <numFmt numFmtId="283" formatCode="#,##0;(#,##0);&quot;-&quot;"/>
    <numFmt numFmtId="284" formatCode="#,##0;(#,##0);&quot;-&quot;"/>
    <numFmt numFmtId="285" formatCode="#,##0;(#,##0);&quot;-&quot;"/>
    <numFmt numFmtId="286" formatCode="#,##0;(#,##0);&quot;-&quot;"/>
    <numFmt numFmtId="287" formatCode="#,##0;(#,##0);&quot;-&quot;"/>
    <numFmt numFmtId="288" formatCode="#,##0;(#,##0);&quot;-&quot;"/>
    <numFmt numFmtId="289" formatCode="#,##0;(#,##0);&quot;-&quot;"/>
    <numFmt numFmtId="290" formatCode="#,##0;(#,##0);&quot;-&quot;"/>
    <numFmt numFmtId="291" formatCode="#,##0.00"/>
    <numFmt numFmtId="292" formatCode="#,##0;(#,##0);&quot;-&quot;"/>
    <numFmt numFmtId="293" formatCode="#,##0;(#,##0);&quot;-&quot;"/>
    <numFmt numFmtId="294" formatCode="#,##0.00;(#,##0.00);0.00"/>
    <numFmt numFmtId="295" formatCode="0.000"/>
    <numFmt numFmtId="296" formatCode="0.000"/>
    <numFmt numFmtId="297" formatCode="#,##0.00;(#,##0.00);0.00"/>
    <numFmt numFmtId="298" formatCode="0.00%;(0.00%);&quot;-&quot;"/>
    <numFmt numFmtId="299" formatCode="0.00%;(0.00%);&quot;-&quot;"/>
    <numFmt numFmtId="300" formatCode="#,##0;(#,##0);&quot;-&quot;"/>
    <numFmt numFmtId="301" formatCode="#,##0;(#,##0);&quot;-&quot;"/>
    <numFmt numFmtId="302" formatCode="#,##0.00;(#,##0.00);0.00"/>
    <numFmt numFmtId="303" formatCode="0.000"/>
    <numFmt numFmtId="304" formatCode="0.000"/>
    <numFmt numFmtId="305" formatCode="#,##0.00;(#,##0.00);0.00"/>
    <numFmt numFmtId="306" formatCode="0.00%;(0.00%);&quot;-&quot;"/>
    <numFmt numFmtId="307" formatCode="0.00%;(0.00%);&quot;-&quot;"/>
    <numFmt numFmtId="308" formatCode="#,##0;(#,##0);&quot;-&quot;"/>
    <numFmt numFmtId="309" formatCode="#,##0;(#,##0);&quot;-&quot;"/>
    <numFmt numFmtId="310" formatCode="#,##0.00;(#,##0.00);0.00"/>
    <numFmt numFmtId="311" formatCode="0.000"/>
    <numFmt numFmtId="312" formatCode="0.000"/>
    <numFmt numFmtId="313" formatCode="#,##0.00;(#,##0.00);0.00"/>
    <numFmt numFmtId="314" formatCode="0.00%;(0.00%);&quot;-&quot;"/>
    <numFmt numFmtId="315" formatCode="0.00%;(0.00%);&quot;-&quot;"/>
    <numFmt numFmtId="316" formatCode="#,##0;(#,##0);&quot;-&quot;"/>
    <numFmt numFmtId="317" formatCode="#,##0;(#,##0);&quot;-&quot;"/>
    <numFmt numFmtId="318" formatCode="#,##0.00;(#,##0.00);0.00"/>
    <numFmt numFmtId="319" formatCode="0.000"/>
    <numFmt numFmtId="320" formatCode="0.000"/>
    <numFmt numFmtId="321" formatCode="#,##0.00;(#,##0.00);0.00"/>
    <numFmt numFmtId="322" formatCode="0.00%;(0.00%);&quot;-&quot;"/>
    <numFmt numFmtId="323" formatCode="0.00%;(0.00%);&quot;-&quot;"/>
    <numFmt numFmtId="324" formatCode="#,##0;(#,##0);&quot;-&quot;"/>
    <numFmt numFmtId="325" formatCode="#,##0;(#,##0);&quot;-&quot;"/>
    <numFmt numFmtId="326" formatCode="#,##0;(#,##0);&quot;-&quot;"/>
    <numFmt numFmtId="327" formatCode="#,##0;(#,##0);&quot;-&quot;"/>
    <numFmt numFmtId="328" formatCode="#,##0;(#,##0);&quot;-&quot;"/>
    <numFmt numFmtId="329" formatCode="#,##0;(#,##0);&quot;-&quot;"/>
    <numFmt numFmtId="330" formatCode="#,##0;(#,##0);&quot;-&quot;"/>
    <numFmt numFmtId="331" formatCode="#,##0;(#,##0);&quot;-&quot;"/>
    <numFmt numFmtId="332" formatCode="#,##0;(#,##0);&quot;-&quot;"/>
    <numFmt numFmtId="333" formatCode="#,##0;(#,##0);&quot;-&quot;"/>
    <numFmt numFmtId="334" formatCode="#,##0;(#,##0);&quot;-&quot;"/>
    <numFmt numFmtId="335" formatCode="#,##0;(#,##0);&quot;-&quot;"/>
    <numFmt numFmtId="336" formatCode="#,##0;(#,##0);&quot;-&quot;"/>
    <numFmt numFmtId="337" formatCode="#,##0;(#,##0);&quot;-&quot;"/>
    <numFmt numFmtId="338" formatCode="#,##0;(#,##0);&quot;-&quot;"/>
    <numFmt numFmtId="339" formatCode="#,##0;(#,##0);&quot;-&quot;"/>
    <numFmt numFmtId="340" formatCode="#,##0;(#,##0);&quot;-&quot;"/>
    <numFmt numFmtId="341" formatCode="#,##0;(#,##0);&quot;-&quot;"/>
    <numFmt numFmtId="342" formatCode="#,##0;(#,##0);&quot;-&quot;"/>
    <numFmt numFmtId="343" formatCode="#,##0;(#,##0);&quot;-&quot;"/>
    <numFmt numFmtId="344" formatCode="#,##0;(#,##0);&quot;-&quot;"/>
    <numFmt numFmtId="345" formatCode="#,##0;(#,##0);&quot;-&quot;"/>
    <numFmt numFmtId="346" formatCode="#,##0;(#,##0);&quot;-&quot;"/>
    <numFmt numFmtId="347" formatCode="#,##0;(#,##0);&quot;-&quot;"/>
    <numFmt numFmtId="348" formatCode="#,##0;(#,##0);&quot;-&quot;"/>
    <numFmt numFmtId="349" formatCode="#,##0;(#,##0);0"/>
    <numFmt numFmtId="350" formatCode="0.0000%"/>
    <numFmt numFmtId="351" formatCode="#,##0;(#,##0);&quot;-&quot;"/>
    <numFmt numFmtId="352" formatCode="#,##0;(#,##0);&quot;-&quot;"/>
    <numFmt numFmtId="353" formatCode="#,##0;(#,##0);&quot;-&quot;"/>
    <numFmt numFmtId="354" formatCode="#,##0;(#,##0);&quot;-&quot;"/>
    <numFmt numFmtId="355" formatCode="#,##0;(#,##0);&quot;-&quot;"/>
    <numFmt numFmtId="356" formatCode="#,##0;(#,##0);&quot;-&quot;"/>
    <numFmt numFmtId="357" formatCode="#,##0;(#,##0);&quot;-&quot;"/>
    <numFmt numFmtId="358" formatCode="#,##0;(#,##0);&quot;-&quot;"/>
    <numFmt numFmtId="359" formatCode="#,##0;(#,##0);&quot;-&quot;"/>
    <numFmt numFmtId="360" formatCode="#,##0;(#,##0);&quot;-&quot;"/>
    <numFmt numFmtId="361" formatCode="#,##0;(#,##0);&quot;-&quot;"/>
    <numFmt numFmtId="362" formatCode="#,##0;(#,##0);&quot;-&quot;"/>
    <numFmt numFmtId="363" formatCode="#,##0;(#,##0);&quot;-&quot;"/>
    <numFmt numFmtId="364" formatCode="#,##0;(#,##0);&quot;-&quot;"/>
    <numFmt numFmtId="365" formatCode="#,##0;(#,##0);&quot;-&quot;"/>
    <numFmt numFmtId="366" formatCode="#,##0;(#,##0);&quot;-&quot;"/>
    <numFmt numFmtId="367" formatCode="#,##0;(#,##0);&quot;-&quot;"/>
    <numFmt numFmtId="368" formatCode="#,##0;(#,##0);&quot;-&quot;"/>
    <numFmt numFmtId="369" formatCode="#,##0;(#,##0);&quot;-&quot;"/>
    <numFmt numFmtId="370" formatCode="#,##0.00"/>
    <numFmt numFmtId="371" formatCode="#,##0;(#,##0);&quot;-&quot;"/>
    <numFmt numFmtId="372" formatCode="#,##0;(#,##0);&quot;-&quot;"/>
    <numFmt numFmtId="373" formatCode="#,##0.00;(#,##0.00);0.00"/>
    <numFmt numFmtId="374" formatCode="0.000"/>
    <numFmt numFmtId="375" formatCode="0.000"/>
    <numFmt numFmtId="376" formatCode="#,##0.00;(#,##0.00);0.00"/>
    <numFmt numFmtId="377" formatCode="0.00%;(0.00%);&quot;-&quot;"/>
    <numFmt numFmtId="378" formatCode="0.00%;(0.00%);&quot;-&quot;"/>
    <numFmt numFmtId="379" formatCode="#,##0;(#,##0);&quot;-&quot;"/>
    <numFmt numFmtId="380" formatCode="#,##0;(#,##0);&quot;-&quot;"/>
    <numFmt numFmtId="381" formatCode="#,##0.00;(#,##0.00);0.00"/>
    <numFmt numFmtId="382" formatCode="0.000"/>
    <numFmt numFmtId="383" formatCode="0.000"/>
    <numFmt numFmtId="384" formatCode="#,##0.00;(#,##0.00);0.00"/>
    <numFmt numFmtId="385" formatCode="0.00%;(0.00%);&quot;-&quot;"/>
    <numFmt numFmtId="386" formatCode="0.00%;(0.00%);&quot;-&quot;"/>
    <numFmt numFmtId="387" formatCode="#,##0;(#,##0);&quot;-&quot;"/>
    <numFmt numFmtId="388" formatCode="#,##0;(#,##0);&quot;-&quot;"/>
    <numFmt numFmtId="389" formatCode="#,##0.00;(#,##0.00);0.00"/>
    <numFmt numFmtId="390" formatCode="0.000"/>
    <numFmt numFmtId="391" formatCode="0.000"/>
    <numFmt numFmtId="392" formatCode="#,##0.00;(#,##0.00);0.00"/>
    <numFmt numFmtId="393" formatCode="0.00%;(0.00%);&quot;-&quot;"/>
    <numFmt numFmtId="394" formatCode="0.00%;(0.00%);&quot;-&quot;"/>
    <numFmt numFmtId="395" formatCode="#,##0;(#,##0);&quot;-&quot;"/>
    <numFmt numFmtId="396" formatCode="#,##0;(#,##0);&quot;-&quot;"/>
    <numFmt numFmtId="397" formatCode="#,##0.00;(#,##0.00);0.00"/>
    <numFmt numFmtId="398" formatCode="0.000"/>
    <numFmt numFmtId="399" formatCode="0.000"/>
    <numFmt numFmtId="400" formatCode="#,##0.00;(#,##0.00);0.00"/>
    <numFmt numFmtId="401" formatCode="0.00%;(0.00%);&quot;-&quot;"/>
    <numFmt numFmtId="402" formatCode="0.00%;(0.00%);&quot;-&quot;"/>
    <numFmt numFmtId="403" formatCode="0.0000"/>
    <numFmt numFmtId="404" formatCode="#,##0;(#,##0);&quot;-&quot;"/>
    <numFmt numFmtId="405" formatCode="#,##0;(#,##0);&quot;-&quot;"/>
    <numFmt numFmtId="406" formatCode="#,##0;(#,##0);&quot;-&quot;"/>
    <numFmt numFmtId="407" formatCode="#,##0;(#,##0);&quot;-&quot;"/>
    <numFmt numFmtId="408" formatCode="#,##0;(#,##0);&quot;-&quot;"/>
    <numFmt numFmtId="409" formatCode="#,##0;(#,##0);&quot;-&quot;"/>
    <numFmt numFmtId="410" formatCode="#,##0;(#,##0);&quot;-&quot;"/>
    <numFmt numFmtId="411" formatCode="#,##0;(#,##0);&quot;-&quot;"/>
    <numFmt numFmtId="412" formatCode="#,##0;(#,##0);&quot;-&quot;"/>
    <numFmt numFmtId="413" formatCode="#,##0;(#,##0);&quot;-&quot;"/>
    <numFmt numFmtId="414" formatCode="#,##0;(#,##0);&quot;-&quot;"/>
    <numFmt numFmtId="415" formatCode="#,##0;(#,##0);&quot;-&quot;"/>
    <numFmt numFmtId="416" formatCode="#,##0;(#,##0);&quot;-&quot;"/>
    <numFmt numFmtId="417" formatCode="#,##0;(#,##0);&quot;-&quot;"/>
    <numFmt numFmtId="418" formatCode="#,##0;(#,##0);&quot;-&quot;"/>
    <numFmt numFmtId="419" formatCode="#,##0;(#,##0);&quot;-&quot;"/>
    <numFmt numFmtId="420" formatCode="#,##0;(#,##0);&quot;-&quot;"/>
    <numFmt numFmtId="421" formatCode="#,##0;(#,##0);&quot;-&quot;"/>
    <numFmt numFmtId="422" formatCode="#,##0;(#,##0);&quot;-&quot;"/>
    <numFmt numFmtId="423" formatCode="#,##0;(#,##0);&quot;-&quot;"/>
    <numFmt numFmtId="424" formatCode="#,##0;(#,##0);&quot;-&quot;"/>
    <numFmt numFmtId="425" formatCode="#,##0;(#,##0);&quot;-&quot;"/>
    <numFmt numFmtId="426" formatCode="#,##0;(#,##0);&quot;-&quot;"/>
    <numFmt numFmtId="427" formatCode="#,##0;(#,##0);&quot;-&quot;"/>
    <numFmt numFmtId="428" formatCode="#,##0;(#,##0);&quot;-&quot;"/>
    <numFmt numFmtId="429" formatCode="#,##0;(#,##0);&quot;-&quot;"/>
    <numFmt numFmtId="430" formatCode="#,##0;(#,##0);&quot;-&quot;"/>
    <numFmt numFmtId="431" formatCode="0.00%;(0.00%);&quot;-&quot;"/>
    <numFmt numFmtId="432" formatCode="#,##0.00"/>
    <numFmt numFmtId="433" formatCode="#,##0.00"/>
    <numFmt numFmtId="434" formatCode="#,##0.00"/>
    <numFmt numFmtId="435" formatCode="0.00%;(0.00%);&quot;-&quot;"/>
    <numFmt numFmtId="436" formatCode="0.00%;(0.00%);&quot;-&quot;"/>
    <numFmt numFmtId="437" formatCode="#,##0;(#,##0);&quot;-&quot;"/>
    <numFmt numFmtId="438" formatCode="0.00%;(0.00%);&quot;-&quot;"/>
    <numFmt numFmtId="439" formatCode="#,##0;(#,##0);&quot;-&quot;"/>
    <numFmt numFmtId="440" formatCode="0.00%;(0.00%);&quot;-&quot;"/>
    <numFmt numFmtId="441" formatCode="#,##0;(#,##0);&quot;-&quot;"/>
    <numFmt numFmtId="442" formatCode="0.00%;(0.00%);&quot;-&quot;"/>
    <numFmt numFmtId="443" formatCode="#,##0;(#,##0);&quot;-&quot;"/>
    <numFmt numFmtId="444" formatCode="#,##0;(#,##0);&quot;-&quot;"/>
    <numFmt numFmtId="445" formatCode="#,##0;(#,##0);&quot;-&quot;"/>
    <numFmt numFmtId="446" formatCode="#,##0;(#,##0);&quot;-&quot;"/>
    <numFmt numFmtId="447" formatCode="#,##0;(#,##0);&quot;-&quot;"/>
    <numFmt numFmtId="448" formatCode="#,##0;(#,##0);&quot;-&quot;"/>
    <numFmt numFmtId="449" formatCode="#,##0;(#,##0);&quot;-&quot;"/>
    <numFmt numFmtId="450" formatCode="#,##0;(#,##0);&quot;-&quot;"/>
    <numFmt numFmtId="451" formatCode="#,##0;(#,##0);&quot;-&quot;"/>
    <numFmt numFmtId="452" formatCode="#,##0;(#,##0);&quot;-&quot;"/>
    <numFmt numFmtId="453" formatCode="#,##0;(#,##0);&quot;-&quot;"/>
    <numFmt numFmtId="454" formatCode="#,##0;(#,##0);&quot;-&quot;"/>
    <numFmt numFmtId="455" formatCode="#,##0;(#,##0);&quot;-&quot;"/>
    <numFmt numFmtId="456" formatCode="#,##0;(#,##0);&quot;-&quot;"/>
    <numFmt numFmtId="457" formatCode="#,##0;(#,##0);&quot;-&quot;"/>
    <numFmt numFmtId="458" formatCode="#,##0;(#,##0);&quot;-&quot;"/>
    <numFmt numFmtId="459" formatCode="#,##0;(#,##0);&quot;-&quot;"/>
    <numFmt numFmtId="460" formatCode="#,##0;(#,##0);&quot;-&quot;"/>
    <numFmt numFmtId="461" formatCode="#,##0;(#,##0);&quot;-&quot;"/>
    <numFmt numFmtId="462" formatCode="#,##0;(#,##0);&quot;-&quot;"/>
    <numFmt numFmtId="463" formatCode="#,##0;(#,##0);&quot;-&quot;"/>
    <numFmt numFmtId="464" formatCode="#,##0;(#,##0);&quot;-&quot;"/>
    <numFmt numFmtId="465" formatCode="#,##0;(#,##0);&quot;-&quot;"/>
    <numFmt numFmtId="466" formatCode="#,##0;(#,##0);&quot;-&quot;"/>
    <numFmt numFmtId="467" formatCode="#,##0.00;(#,##0.00)"/>
    <numFmt numFmtId="468" formatCode="#,##0.00;(#,##0.00)"/>
    <numFmt numFmtId="469" formatCode="#,##0.00;(#,##0.00)"/>
    <numFmt numFmtId="470" formatCode="#,##0.00;(#,##0.00)"/>
    <numFmt numFmtId="471" formatCode="#,##0.00;(#,##0.00)"/>
    <numFmt numFmtId="472" formatCode="#,##0.00;(#,##0.00)"/>
    <numFmt numFmtId="473" formatCode="#,##0.00;(#,##0.00)"/>
    <numFmt numFmtId="474" formatCode="#,##0.00;(#,##0.00)"/>
    <numFmt numFmtId="475" formatCode="#,##0.00;(#,##0.00)"/>
    <numFmt numFmtId="476" formatCode="#,##0.00;(#,##0.00)"/>
    <numFmt numFmtId="477" formatCode="#,##0.00;(#,##0.00)"/>
    <numFmt numFmtId="478" formatCode="#,##0.00;(#,##0.00)"/>
    <numFmt numFmtId="479" formatCode="#,##0.00;(#,##0.00)"/>
    <numFmt numFmtId="480" formatCode="#,##0.00;(#,##0.00)"/>
  </numFmts>
  <fonts count="8">
    <font>
      <sz val="11"/>
      <color rgb="FF000000"/>
      <name val="Calibri"/>
      <family val="2"/>
      <scheme val="minor"/>
    </font>
    <font>
      <sz val="14"/>
      <color rgb="FF000000"/>
      <name val="Arial"/>
      <b/>
    </font>
    <font>
      <sz val="10"/>
      <color rgb="FF595959"/>
      <name val="Arial"/>
      <i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FF"/>
      <name val="Arial"/>
    </font>
    <font>
      <sz val="10"/>
      <color rgb="FF008000"/>
      <name val="Arial"/>
    </font>
    <font>
      <sz val="11"/>
      <color rgb="FF000000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 applyAlignment="1">
      <alignment vertical="center" wrapText="1"/>
    </xf>
    <xf numFmtId="166" fontId="5" fillId="0" borderId="0" xfId="0" applyFont="1" applyNumberFormat="1"/>
    <xf numFmtId="167" fontId="5" fillId="0" borderId="0" xfId="0" applyFont="1" applyNumberFormat="1"/>
    <xf numFmtId="168" fontId="5" fillId="0" borderId="0" xfId="0" applyFont="1" applyNumberFormat="1"/>
    <xf numFmtId="169" fontId="5" fillId="0" borderId="0" xfId="0" applyFont="1" applyNumberFormat="1"/>
    <xf numFmtId="170" fontId="3" fillId="0" borderId="0" xfId="0" applyFont="1" applyNumberFormat="1"/>
    <xf numFmtId="171" fontId="3" fillId="0" borderId="0" xfId="0" applyFont="1" applyNumberFormat="1"/>
    <xf numFmtId="172" fontId="5" fillId="0" borderId="0" xfId="0" applyFont="1" applyNumberFormat="1"/>
    <xf numFmtId="173" fontId="5" fillId="0" borderId="0" xfId="0" applyFont="1" applyNumberFormat="1"/>
    <xf numFmtId="174" fontId="5" fillId="0" borderId="0" xfId="0" applyFont="1" applyNumberFormat="1"/>
    <xf numFmtId="175" fontId="5" fillId="0" borderId="0" xfId="0" applyFont="1" applyNumberFormat="1"/>
    <xf numFmtId="176" fontId="3" fillId="0" borderId="0" xfId="0" applyFont="1" applyNumberFormat="1"/>
    <xf numFmtId="177" fontId="3" fillId="0" borderId="0" xfId="0" applyFont="1" applyNumberFormat="1"/>
    <xf numFmtId="178" fontId="5" fillId="0" borderId="0" xfId="0" applyFont="1" applyNumberFormat="1"/>
    <xf numFmtId="179" fontId="5" fillId="0" borderId="0" xfId="0" applyFont="1" applyNumberFormat="1"/>
    <xf numFmtId="180" fontId="5" fillId="0" borderId="0" xfId="0" applyFont="1" applyNumberFormat="1"/>
    <xf numFmtId="181" fontId="5" fillId="0" borderId="0" xfId="0" applyFont="1" applyNumberFormat="1"/>
    <xf numFmtId="182" fontId="3" fillId="0" borderId="0" xfId="0" applyFont="1" applyNumberFormat="1"/>
    <xf numFmtId="183" fontId="3" fillId="0" borderId="0" xfId="0" applyFont="1" applyNumberFormat="1"/>
    <xf numFmtId="184" fontId="5" fillId="0" borderId="0" xfId="0" applyFont="1" applyNumberFormat="1"/>
    <xf numFmtId="185" fontId="5" fillId="0" borderId="0" xfId="0" applyFont="1" applyNumberFormat="1"/>
    <xf numFmtId="186" fontId="5" fillId="0" borderId="0" xfId="0" applyFont="1" applyNumberFormat="1"/>
    <xf numFmtId="187" fontId="5" fillId="0" borderId="0" xfId="0" applyFont="1" applyNumberFormat="1"/>
    <xf numFmtId="188" fontId="3" fillId="0" borderId="0" xfId="0" applyFont="1" applyNumberFormat="1"/>
    <xf numFmtId="189" fontId="3" fillId="0" borderId="0" xfId="0" applyFont="1" applyNumberFormat="1"/>
    <xf numFmtId="190" fontId="5" fillId="0" borderId="0" xfId="0" applyFont="1" applyNumberFormat="1"/>
    <xf numFmtId="191" fontId="5" fillId="0" borderId="0" xfId="0" applyFont="1" applyNumberFormat="1"/>
    <xf numFmtId="192" fontId="5" fillId="0" borderId="0" xfId="0" applyFont="1" applyNumberFormat="1"/>
    <xf numFmtId="193" fontId="5" fillId="0" borderId="0" xfId="0" applyFont="1" applyNumberFormat="1"/>
    <xf numFmtId="194" fontId="3" fillId="0" borderId="0" xfId="0" applyFont="1" applyNumberFormat="1"/>
    <xf numFmtId="195" fontId="3" fillId="0" borderId="0" xfId="0" applyFont="1" applyNumberFormat="1"/>
    <xf numFmtId="196" fontId="5" fillId="0" borderId="0" xfId="0" applyFont="1" applyNumberFormat="1"/>
    <xf numFmtId="197" fontId="5" fillId="0" borderId="0" xfId="0" applyFont="1" applyNumberFormat="1"/>
    <xf numFmtId="198" fontId="5" fillId="0" borderId="0" xfId="0" applyFont="1" applyNumberFormat="1"/>
    <xf numFmtId="199" fontId="5" fillId="0" borderId="0" xfId="0" applyFont="1" applyNumberFormat="1"/>
    <xf numFmtId="200" fontId="3" fillId="0" borderId="0" xfId="0" applyFont="1" applyNumberFormat="1"/>
    <xf numFmtId="201" fontId="3" fillId="0" borderId="0" xfId="0" applyFont="1" applyNumberFormat="1"/>
    <xf numFmtId="202" fontId="5" fillId="0" borderId="0" xfId="0" applyFont="1" applyNumberFormat="1"/>
    <xf numFmtId="203" fontId="5" fillId="0" borderId="0" xfId="0" applyFont="1" applyNumberFormat="1"/>
    <xf numFmtId="204" fontId="5" fillId="0" borderId="0" xfId="0" applyFont="1" applyNumberFormat="1"/>
    <xf numFmtId="205" fontId="5" fillId="0" borderId="0" xfId="0" applyFont="1" applyNumberFormat="1"/>
    <xf numFmtId="206" fontId="5" fillId="0" borderId="0" xfId="0" applyFont="1" applyNumberFormat="1"/>
    <xf numFmtId="207" fontId="5" fillId="0" borderId="0" xfId="0" applyFont="1" applyNumberFormat="1"/>
    <xf numFmtId="208" fontId="5" fillId="0" borderId="0" xfId="0" applyFont="1" applyNumberFormat="1"/>
    <xf numFmtId="209" fontId="5" fillId="0" borderId="0" xfId="0" applyFont="1" applyNumberFormat="1"/>
    <xf numFmtId="210" fontId="5" fillId="0" borderId="0" xfId="0" applyFont="1" applyNumberFormat="1"/>
    <xf numFmtId="211" fontId="5" fillId="0" borderId="0" xfId="0" applyFont="1" applyNumberFormat="1"/>
    <xf numFmtId="212" fontId="5" fillId="0" borderId="0" xfId="0" applyFont="1" applyNumberFormat="1"/>
    <xf numFmtId="213" fontId="5" fillId="0" borderId="0" xfId="0" applyFont="1" applyNumberFormat="1"/>
    <xf numFmtId="214" fontId="4" fillId="0" borderId="0" xfId="0" applyFont="1" applyNumberFormat="1"/>
    <xf numFmtId="215" fontId="5" fillId="0" borderId="0" xfId="0" applyFont="1" applyNumberFormat="1"/>
    <xf numFmtId="216" fontId="3" fillId="0" borderId="0" xfId="0" applyFont="1" applyNumberFormat="1"/>
    <xf numFmtId="217" fontId="5" fillId="0" borderId="0" xfId="0" applyFont="1" applyNumberFormat="1"/>
    <xf numFmtId="218" fontId="5" fillId="0" borderId="0" xfId="0" applyFont="1" applyNumberFormat="1"/>
    <xf numFmtId="219" fontId="5" fillId="0" borderId="0" xfId="0" applyFont="1" applyNumberFormat="1"/>
    <xf numFmtId="220" fontId="5" fillId="0" borderId="0" xfId="0" applyFont="1" applyNumberFormat="1"/>
    <xf numFmtId="221" fontId="5" fillId="0" borderId="0" xfId="0" applyFont="1" applyNumberFormat="1"/>
    <xf numFmtId="222" fontId="5" fillId="0" borderId="0" xfId="0" applyFont="1" applyNumberFormat="1"/>
    <xf numFmtId="223" fontId="5" fillId="0" borderId="0" xfId="0" applyFont="1" applyNumberFormat="1"/>
    <xf numFmtId="224" fontId="5" fillId="0" borderId="0" xfId="0" applyFont="1" applyNumberFormat="1"/>
    <xf numFmtId="225" fontId="3" fillId="0" borderId="0" xfId="0" applyFont="1" applyNumberFormat="1"/>
    <xf numFmtId="226" fontId="5" fillId="0" borderId="0" xfId="0" applyFont="1" applyNumberFormat="1"/>
    <xf numFmtId="227" fontId="3" fillId="0" borderId="0" xfId="0" applyFont="1" applyNumberFormat="1"/>
    <xf numFmtId="228" fontId="5" fillId="0" borderId="0" xfId="0" applyFont="1" applyNumberFormat="1"/>
    <xf numFmtId="229" fontId="3" fillId="0" borderId="0" xfId="0" applyFont="1" applyNumberFormat="1"/>
    <xf numFmtId="230" fontId="5" fillId="0" borderId="0" xfId="0" applyFont="1" applyNumberFormat="1"/>
    <xf numFmtId="231" fontId="3" fillId="0" borderId="0" xfId="0" applyFont="1" applyNumberFormat="1"/>
    <xf numFmtId="232" fontId="5" fillId="0" borderId="0" xfId="0" applyFont="1" applyNumberFormat="1"/>
    <xf numFmtId="233" fontId="3" fillId="0" borderId="0" xfId="0" applyFont="1" applyNumberFormat="1"/>
    <xf numFmtId="234" fontId="5" fillId="0" borderId="0" xfId="0" applyFont="1" applyNumberFormat="1"/>
    <xf numFmtId="235" fontId="3" fillId="0" borderId="0" xfId="0" applyFont="1" applyNumberFormat="1"/>
    <xf numFmtId="236" fontId="5" fillId="0" borderId="0" xfId="0" applyFont="1" applyNumberFormat="1"/>
    <xf numFmtId="237" fontId="3" fillId="0" borderId="0" xfId="0" applyFont="1" applyNumberFormat="1"/>
    <xf numFmtId="238" fontId="5" fillId="0" borderId="0" xfId="0" applyFont="1" applyNumberFormat="1"/>
    <xf numFmtId="239" fontId="3" fillId="0" borderId="0" xfId="0" applyFont="1" applyNumberFormat="1"/>
    <xf numFmtId="240" fontId="5" fillId="0" borderId="0" xfId="0" applyFont="1" applyNumberFormat="1"/>
    <xf numFmtId="241" fontId="3" fillId="0" borderId="0" xfId="0" applyFont="1" applyNumberFormat="1"/>
    <xf numFmtId="242" fontId="5" fillId="0" borderId="0" xfId="0" applyFont="1" applyNumberFormat="1"/>
    <xf numFmtId="243" fontId="3" fillId="0" borderId="0" xfId="0" applyFont="1" applyNumberFormat="1"/>
    <xf numFmtId="244" fontId="5" fillId="0" borderId="0" xfId="0" applyFont="1" applyNumberFormat="1"/>
    <xf numFmtId="245" fontId="3" fillId="0" borderId="0" xfId="0" applyFont="1" applyNumberFormat="1"/>
    <xf numFmtId="246" fontId="5" fillId="0" borderId="0" xfId="0" applyFont="1" applyNumberFormat="1"/>
    <xf numFmtId="247" fontId="3" fillId="0" borderId="0" xfId="0" applyFont="1" applyNumberFormat="1"/>
    <xf numFmtId="248" fontId="5" fillId="0" borderId="0" xfId="0" applyFont="1" applyNumberFormat="1"/>
    <xf numFmtId="249" fontId="3" fillId="0" borderId="0" xfId="0" applyFont="1" applyNumberFormat="1"/>
    <xf numFmtId="250" fontId="5" fillId="0" borderId="0" xfId="0" applyFont="1" applyNumberFormat="1"/>
    <xf numFmtId="251" fontId="3" fillId="0" borderId="0" xfId="0" applyFont="1" applyNumberFormat="1"/>
    <xf numFmtId="252" fontId="5" fillId="0" borderId="0" xfId="0" applyFont="1" applyNumberFormat="1"/>
    <xf numFmtId="253" fontId="3" fillId="0" borderId="0" xfId="0" applyFont="1" applyNumberFormat="1"/>
    <xf numFmtId="254" fontId="5" fillId="0" borderId="0" xfId="0" applyFont="1" applyNumberFormat="1"/>
    <xf numFmtId="255" fontId="3" fillId="0" borderId="0" xfId="0" applyFont="1" applyNumberFormat="1"/>
    <xf numFmtId="256" fontId="5" fillId="0" borderId="0" xfId="0" applyFont="1" applyNumberFormat="1"/>
    <xf numFmtId="257" fontId="3" fillId="0" borderId="0" xfId="0" applyFont="1" applyNumberFormat="1"/>
    <xf numFmtId="258" fontId="5" fillId="0" borderId="0" xfId="0" applyFont="1" applyNumberFormat="1"/>
    <xf numFmtId="259" fontId="3" fillId="0" borderId="0" xfId="0" applyFont="1" applyNumberFormat="1"/>
    <xf numFmtId="260" fontId="5" fillId="0" borderId="0" xfId="0" applyFont="1" applyNumberFormat="1"/>
    <xf numFmtId="261" fontId="3" fillId="0" borderId="0" xfId="0" applyFont="1" applyNumberFormat="1"/>
    <xf numFmtId="262" fontId="5" fillId="0" borderId="0" xfId="0" applyFont="1" applyNumberFormat="1"/>
    <xf numFmtId="263" fontId="3" fillId="0" borderId="0" xfId="0" applyFont="1" applyNumberFormat="1"/>
    <xf numFmtId="264" fontId="5" fillId="0" borderId="0" xfId="0" applyFont="1" applyNumberFormat="1"/>
    <xf numFmtId="265" fontId="3" fillId="0" borderId="0" xfId="0" applyFont="1" applyNumberFormat="1"/>
    <xf numFmtId="266" fontId="5" fillId="0" borderId="0" xfId="0" applyFont="1" applyNumberFormat="1"/>
    <xf numFmtId="267" fontId="3" fillId="0" borderId="0" xfId="0" applyFont="1" applyNumberFormat="1"/>
    <xf numFmtId="268" fontId="5" fillId="0" borderId="0" xfId="0" applyFont="1" applyNumberFormat="1"/>
    <xf numFmtId="269" fontId="3" fillId="0" borderId="0" xfId="0" applyFont="1" applyNumberFormat="1"/>
    <xf numFmtId="270" fontId="5" fillId="0" borderId="0" xfId="0" applyFont="1" applyNumberFormat="1"/>
    <xf numFmtId="271" fontId="3" fillId="0" borderId="0" xfId="0" applyFont="1" applyNumberFormat="1"/>
    <xf numFmtId="0" fontId="6" fillId="0" borderId="0" xfId="0" applyFont="1"/>
    <xf numFmtId="272" fontId="3" fillId="0" borderId="0" xfId="0" applyFont="1" applyNumberFormat="1"/>
    <xf numFmtId="273" fontId="6" fillId="0" borderId="0" xfId="0" applyFont="1" applyNumberFormat="1"/>
    <xf numFmtId="274" fontId="3" fillId="0" borderId="0" xfId="0" applyFont="1" applyNumberFormat="1"/>
    <xf numFmtId="275" fontId="3" fillId="0" borderId="0" xfId="0" applyFont="1" applyNumberFormat="1"/>
    <xf numFmtId="276" fontId="6" fillId="0" borderId="0" xfId="0" applyFont="1" applyNumberFormat="1"/>
    <xf numFmtId="277" fontId="3" fillId="0" borderId="0" xfId="0" applyFont="1" applyNumberFormat="1"/>
    <xf numFmtId="278" fontId="3" fillId="0" borderId="0" xfId="0" applyFont="1" applyNumberFormat="1"/>
    <xf numFmtId="279" fontId="6" fillId="0" borderId="0" xfId="0" applyFont="1" applyNumberFormat="1"/>
    <xf numFmtId="280" fontId="3" fillId="0" borderId="0" xfId="0" applyFont="1" applyNumberFormat="1"/>
    <xf numFmtId="281" fontId="3" fillId="0" borderId="0" xfId="0" applyFont="1" applyNumberFormat="1"/>
    <xf numFmtId="282" fontId="6" fillId="0" borderId="0" xfId="0" applyFont="1" applyNumberFormat="1"/>
    <xf numFmtId="283" fontId="3" fillId="0" borderId="0" xfId="0" applyFont="1" applyNumberFormat="1"/>
    <xf numFmtId="284" fontId="3" fillId="0" borderId="0" xfId="0" applyFont="1" applyNumberFormat="1"/>
    <xf numFmtId="285" fontId="6" fillId="0" borderId="0" xfId="0" applyFont="1" applyNumberFormat="1"/>
    <xf numFmtId="286" fontId="3" fillId="0" borderId="0" xfId="0" applyFont="1" applyNumberFormat="1"/>
    <xf numFmtId="287" fontId="3" fillId="0" borderId="0" xfId="0" applyFont="1" applyNumberFormat="1"/>
    <xf numFmtId="288" fontId="6" fillId="0" borderId="0" xfId="0" applyFont="1" applyNumberFormat="1"/>
    <xf numFmtId="289" fontId="3" fillId="0" borderId="0" xfId="0" applyFont="1" applyNumberFormat="1"/>
    <xf numFmtId="0" fontId="7" fillId="0" borderId="0" xfId="0" applyFont="1"/>
    <xf numFmtId="290" fontId="7" fillId="3" borderId="0" xfId="0" applyFont="1" applyNumberFormat="1" applyFill="1"/>
    <xf numFmtId="291" fontId="3" fillId="0" borderId="0" xfId="0" applyFont="1" applyNumberFormat="1"/>
    <xf numFmtId="292" fontId="3" fillId="0" borderId="0" xfId="0" applyFont="1" applyNumberFormat="1"/>
    <xf numFmtId="293" fontId="6" fillId="0" borderId="0" xfId="0" applyFont="1" applyNumberFormat="1"/>
    <xf numFmtId="294" fontId="3" fillId="0" borderId="0" xfId="0" applyFont="1" applyNumberFormat="1"/>
    <xf numFmtId="295" fontId="3" fillId="0" borderId="0" xfId="0" applyFont="1" applyNumberFormat="1"/>
    <xf numFmtId="296" fontId="6" fillId="0" borderId="0" xfId="0" applyFont="1" applyNumberFormat="1"/>
    <xf numFmtId="297" fontId="3" fillId="0" borderId="0" xfId="0" applyFont="1" applyNumberFormat="1"/>
    <xf numFmtId="298" fontId="3" fillId="0" borderId="0" xfId="0" applyFont="1" applyNumberFormat="1"/>
    <xf numFmtId="299" fontId="6" fillId="0" borderId="0" xfId="0" applyFont="1" applyNumberFormat="1"/>
    <xf numFmtId="300" fontId="3" fillId="0" borderId="0" xfId="0" applyFont="1" applyNumberFormat="1"/>
    <xf numFmtId="301" fontId="6" fillId="0" borderId="0" xfId="0" applyFont="1" applyNumberFormat="1"/>
    <xf numFmtId="302" fontId="3" fillId="0" borderId="0" xfId="0" applyFont="1" applyNumberFormat="1"/>
    <xf numFmtId="303" fontId="3" fillId="0" borderId="0" xfId="0" applyFont="1" applyNumberFormat="1"/>
    <xf numFmtId="304" fontId="6" fillId="0" borderId="0" xfId="0" applyFont="1" applyNumberFormat="1"/>
    <xf numFmtId="305" fontId="3" fillId="0" borderId="0" xfId="0" applyFont="1" applyNumberFormat="1"/>
    <xf numFmtId="306" fontId="3" fillId="0" borderId="0" xfId="0" applyFont="1" applyNumberFormat="1"/>
    <xf numFmtId="307" fontId="6" fillId="0" borderId="0" xfId="0" applyFont="1" applyNumberFormat="1"/>
    <xf numFmtId="308" fontId="3" fillId="0" borderId="0" xfId="0" applyFont="1" applyNumberFormat="1"/>
    <xf numFmtId="309" fontId="6" fillId="0" borderId="0" xfId="0" applyFont="1" applyNumberFormat="1"/>
    <xf numFmtId="310" fontId="3" fillId="0" borderId="0" xfId="0" applyFont="1" applyNumberFormat="1"/>
    <xf numFmtId="311" fontId="3" fillId="0" borderId="0" xfId="0" applyFont="1" applyNumberFormat="1"/>
    <xf numFmtId="312" fontId="6" fillId="0" borderId="0" xfId="0" applyFont="1" applyNumberFormat="1"/>
    <xf numFmtId="313" fontId="3" fillId="0" borderId="0" xfId="0" applyFont="1" applyNumberFormat="1"/>
    <xf numFmtId="314" fontId="3" fillId="0" borderId="0" xfId="0" applyFont="1" applyNumberFormat="1"/>
    <xf numFmtId="315" fontId="6" fillId="0" borderId="0" xfId="0" applyFont="1" applyNumberFormat="1"/>
    <xf numFmtId="316" fontId="3" fillId="0" borderId="0" xfId="0" applyFont="1" applyNumberFormat="1"/>
    <xf numFmtId="317" fontId="6" fillId="0" borderId="0" xfId="0" applyFont="1" applyNumberFormat="1"/>
    <xf numFmtId="318" fontId="3" fillId="0" borderId="0" xfId="0" applyFont="1" applyNumberFormat="1"/>
    <xf numFmtId="319" fontId="3" fillId="0" borderId="0" xfId="0" applyFont="1" applyNumberFormat="1"/>
    <xf numFmtId="320" fontId="6" fillId="0" borderId="0" xfId="0" applyFont="1" applyNumberFormat="1"/>
    <xf numFmtId="321" fontId="3" fillId="0" borderId="0" xfId="0" applyFont="1" applyNumberFormat="1"/>
    <xf numFmtId="322" fontId="3" fillId="0" borderId="0" xfId="0" applyFont="1" applyNumberFormat="1"/>
    <xf numFmtId="323" fontId="6" fillId="0" borderId="0" xfId="0" applyFont="1" applyNumberFormat="1"/>
    <xf numFmtId="324" fontId="5" fillId="4" borderId="0" xfId="0" applyFont="1" applyNumberFormat="1" applyFill="1"/>
    <xf numFmtId="325" fontId="5" fillId="4" borderId="0" xfId="0" applyFont="1" applyNumberFormat="1" applyFill="1"/>
    <xf numFmtId="326" fontId="5" fillId="4" borderId="0" xfId="0" applyFont="1" applyNumberFormat="1" applyFill="1"/>
    <xf numFmtId="327" fontId="5" fillId="4" borderId="0" xfId="0" applyFont="1" applyNumberFormat="1" applyFill="1"/>
    <xf numFmtId="328" fontId="5" fillId="4" borderId="0" xfId="0" applyFont="1" applyNumberFormat="1" applyFill="1"/>
    <xf numFmtId="329" fontId="5" fillId="4" borderId="0" xfId="0" applyFont="1" applyNumberFormat="1" applyFill="1"/>
    <xf numFmtId="330" fontId="5" fillId="4" borderId="0" xfId="0" applyFont="1" applyNumberFormat="1" applyFill="1"/>
    <xf numFmtId="331" fontId="5" fillId="4" borderId="0" xfId="0" applyFont="1" applyNumberFormat="1" applyFill="1"/>
    <xf numFmtId="332" fontId="5" fillId="4" borderId="0" xfId="0" applyFont="1" applyNumberFormat="1" applyFill="1"/>
    <xf numFmtId="333" fontId="5" fillId="4" borderId="0" xfId="0" applyFont="1" applyNumberFormat="1" applyFill="1"/>
    <xf numFmtId="334" fontId="5" fillId="4" borderId="0" xfId="0" applyFont="1" applyNumberFormat="1" applyFill="1"/>
    <xf numFmtId="335" fontId="5" fillId="4" borderId="0" xfId="0" applyFont="1" applyNumberFormat="1" applyFill="1"/>
    <xf numFmtId="336" fontId="5" fillId="4" borderId="0" xfId="0" applyFont="1" applyNumberFormat="1" applyFill="1"/>
    <xf numFmtId="337" fontId="5" fillId="4" borderId="0" xfId="0" applyFont="1" applyNumberFormat="1" applyFill="1"/>
    <xf numFmtId="338" fontId="5" fillId="4" borderId="0" xfId="0" applyFont="1" applyNumberFormat="1" applyFill="1"/>
    <xf numFmtId="339" fontId="5" fillId="4" borderId="0" xfId="0" applyFont="1" applyNumberFormat="1" applyFill="1"/>
    <xf numFmtId="340" fontId="5" fillId="4" borderId="0" xfId="0" applyFont="1" applyNumberFormat="1" applyFill="1"/>
    <xf numFmtId="341" fontId="5" fillId="4" borderId="0" xfId="0" applyFont="1" applyNumberFormat="1" applyFill="1"/>
    <xf numFmtId="342" fontId="5" fillId="4" borderId="0" xfId="0" applyFont="1" applyNumberFormat="1" applyFill="1"/>
    <xf numFmtId="343" fontId="5" fillId="4" borderId="0" xfId="0" applyFont="1" applyNumberFormat="1" applyFill="1"/>
    <xf numFmtId="344" fontId="5" fillId="4" borderId="0" xfId="0" applyFont="1" applyNumberFormat="1" applyFill="1"/>
    <xf numFmtId="345" fontId="5" fillId="4" borderId="0" xfId="0" applyFont="1" applyNumberFormat="1" applyFill="1"/>
    <xf numFmtId="346" fontId="5" fillId="4" borderId="0" xfId="0" applyFont="1" applyNumberFormat="1" applyFill="1"/>
    <xf numFmtId="347" fontId="5" fillId="4" borderId="0" xfId="0" applyFont="1" applyNumberFormat="1" applyFill="1"/>
    <xf numFmtId="348" fontId="5" fillId="0" borderId="0" xfId="0" applyFont="1" applyNumberFormat="1"/>
    <xf numFmtId="349" fontId="3" fillId="0" borderId="0" xfId="0" applyFont="1" applyNumberFormat="1"/>
    <xf numFmtId="350" fontId="3" fillId="0" borderId="0" xfId="0" applyFont="1" applyNumberFormat="1"/>
    <xf numFmtId="351" fontId="3" fillId="0" borderId="0" xfId="0" applyFont="1" applyNumberFormat="1"/>
    <xf numFmtId="352" fontId="6" fillId="0" borderId="0" xfId="0" applyFont="1" applyNumberFormat="1"/>
    <xf numFmtId="353" fontId="3" fillId="0" borderId="0" xfId="0" applyFont="1" applyNumberFormat="1"/>
    <xf numFmtId="354" fontId="3" fillId="0" borderId="0" xfId="0" applyFont="1" applyNumberFormat="1"/>
    <xf numFmtId="355" fontId="6" fillId="0" borderId="0" xfId="0" applyFont="1" applyNumberFormat="1"/>
    <xf numFmtId="356" fontId="3" fillId="0" borderId="0" xfId="0" applyFont="1" applyNumberFormat="1"/>
    <xf numFmtId="357" fontId="3" fillId="0" borderId="0" xfId="0" applyFont="1" applyNumberFormat="1"/>
    <xf numFmtId="358" fontId="6" fillId="0" borderId="0" xfId="0" applyFont="1" applyNumberFormat="1"/>
    <xf numFmtId="359" fontId="3" fillId="0" borderId="0" xfId="0" applyFont="1" applyNumberFormat="1"/>
    <xf numFmtId="360" fontId="3" fillId="0" borderId="0" xfId="0" applyFont="1" applyNumberFormat="1"/>
    <xf numFmtId="361" fontId="6" fillId="0" borderId="0" xfId="0" applyFont="1" applyNumberFormat="1"/>
    <xf numFmtId="362" fontId="3" fillId="0" borderId="0" xfId="0" applyFont="1" applyNumberFormat="1"/>
    <xf numFmtId="363" fontId="3" fillId="0" borderId="0" xfId="0" applyFont="1" applyNumberFormat="1"/>
    <xf numFmtId="364" fontId="6" fillId="0" borderId="0" xfId="0" applyFont="1" applyNumberFormat="1"/>
    <xf numFmtId="365" fontId="3" fillId="0" borderId="0" xfId="0" applyFont="1" applyNumberFormat="1"/>
    <xf numFmtId="366" fontId="3" fillId="0" borderId="0" xfId="0" applyFont="1" applyNumberFormat="1"/>
    <xf numFmtId="367" fontId="6" fillId="0" borderId="0" xfId="0" applyFont="1" applyNumberFormat="1"/>
    <xf numFmtId="368" fontId="3" fillId="0" borderId="0" xfId="0" applyFont="1" applyNumberFormat="1"/>
    <xf numFmtId="369" fontId="7" fillId="3" borderId="0" xfId="0" applyFont="1" applyNumberFormat="1" applyFill="1"/>
    <xf numFmtId="370" fontId="3" fillId="0" borderId="0" xfId="0" applyFont="1" applyNumberFormat="1"/>
    <xf numFmtId="371" fontId="3" fillId="0" borderId="0" xfId="0" applyFont="1" applyNumberFormat="1"/>
    <xf numFmtId="372" fontId="6" fillId="0" borderId="0" xfId="0" applyFont="1" applyNumberFormat="1"/>
    <xf numFmtId="373" fontId="3" fillId="0" borderId="0" xfId="0" applyFont="1" applyNumberFormat="1"/>
    <xf numFmtId="374" fontId="3" fillId="0" borderId="0" xfId="0" applyFont="1" applyNumberFormat="1"/>
    <xf numFmtId="375" fontId="6" fillId="0" borderId="0" xfId="0" applyFont="1" applyNumberFormat="1"/>
    <xf numFmtId="376" fontId="3" fillId="0" borderId="0" xfId="0" applyFont="1" applyNumberFormat="1"/>
    <xf numFmtId="377" fontId="3" fillId="0" borderId="0" xfId="0" applyFont="1" applyNumberFormat="1"/>
    <xf numFmtId="378" fontId="6" fillId="0" borderId="0" xfId="0" applyFont="1" applyNumberFormat="1"/>
    <xf numFmtId="379" fontId="3" fillId="0" borderId="0" xfId="0" applyFont="1" applyNumberFormat="1"/>
    <xf numFmtId="380" fontId="6" fillId="0" borderId="0" xfId="0" applyFont="1" applyNumberFormat="1"/>
    <xf numFmtId="381" fontId="3" fillId="0" borderId="0" xfId="0" applyFont="1" applyNumberFormat="1"/>
    <xf numFmtId="382" fontId="3" fillId="0" borderId="0" xfId="0" applyFont="1" applyNumberFormat="1"/>
    <xf numFmtId="383" fontId="6" fillId="0" borderId="0" xfId="0" applyFont="1" applyNumberFormat="1"/>
    <xf numFmtId="384" fontId="3" fillId="0" borderId="0" xfId="0" applyFont="1" applyNumberFormat="1"/>
    <xf numFmtId="385" fontId="3" fillId="0" borderId="0" xfId="0" applyFont="1" applyNumberFormat="1"/>
    <xf numFmtId="386" fontId="6" fillId="0" borderId="0" xfId="0" applyFont="1" applyNumberFormat="1"/>
    <xf numFmtId="387" fontId="3" fillId="0" borderId="0" xfId="0" applyFont="1" applyNumberFormat="1"/>
    <xf numFmtId="388" fontId="6" fillId="0" borderId="0" xfId="0" applyFont="1" applyNumberFormat="1"/>
    <xf numFmtId="389" fontId="3" fillId="0" borderId="0" xfId="0" applyFont="1" applyNumberFormat="1"/>
    <xf numFmtId="390" fontId="3" fillId="0" borderId="0" xfId="0" applyFont="1" applyNumberFormat="1"/>
    <xf numFmtId="391" fontId="6" fillId="0" borderId="0" xfId="0" applyFont="1" applyNumberFormat="1"/>
    <xf numFmtId="392" fontId="3" fillId="0" borderId="0" xfId="0" applyFont="1" applyNumberFormat="1"/>
    <xf numFmtId="393" fontId="3" fillId="0" borderId="0" xfId="0" applyFont="1" applyNumberFormat="1"/>
    <xf numFmtId="394" fontId="6" fillId="0" borderId="0" xfId="0" applyFont="1" applyNumberFormat="1"/>
    <xf numFmtId="395" fontId="3" fillId="0" borderId="0" xfId="0" applyFont="1" applyNumberFormat="1"/>
    <xf numFmtId="396" fontId="6" fillId="0" borderId="0" xfId="0" applyFont="1" applyNumberFormat="1"/>
    <xf numFmtId="397" fontId="3" fillId="0" borderId="0" xfId="0" applyFont="1" applyNumberFormat="1"/>
    <xf numFmtId="398" fontId="3" fillId="0" borderId="0" xfId="0" applyFont="1" applyNumberFormat="1"/>
    <xf numFmtId="399" fontId="6" fillId="0" borderId="0" xfId="0" applyFont="1" applyNumberFormat="1"/>
    <xf numFmtId="400" fontId="3" fillId="0" borderId="0" xfId="0" applyFont="1" applyNumberFormat="1"/>
    <xf numFmtId="401" fontId="3" fillId="0" borderId="0" xfId="0" applyFont="1" applyNumberFormat="1"/>
    <xf numFmtId="402" fontId="6" fillId="0" borderId="0" xfId="0" applyFont="1" applyNumberFormat="1"/>
    <xf numFmtId="403" fontId="3" fillId="0" borderId="0" xfId="0" applyFont="1" applyNumberFormat="1"/>
    <xf numFmtId="404" fontId="3" fillId="0" borderId="0" xfId="0" applyFont="1" applyNumberFormat="1"/>
    <xf numFmtId="405" fontId="3" fillId="0" borderId="0" xfId="0" applyFont="1" applyNumberFormat="1"/>
    <xf numFmtId="406" fontId="3" fillId="0" borderId="0" xfId="0" applyFont="1" applyNumberFormat="1"/>
    <xf numFmtId="407" fontId="3" fillId="0" borderId="0" xfId="0" applyFont="1" applyNumberFormat="1"/>
    <xf numFmtId="408" fontId="3" fillId="0" borderId="0" xfId="0" applyFont="1" applyNumberFormat="1"/>
    <xf numFmtId="409" fontId="3" fillId="0" borderId="0" xfId="0" applyFont="1" applyNumberFormat="1"/>
    <xf numFmtId="410" fontId="3" fillId="0" borderId="0" xfId="0" applyFont="1" applyNumberFormat="1"/>
    <xf numFmtId="411" fontId="3" fillId="0" borderId="0" xfId="0" applyFont="1" applyNumberFormat="1"/>
    <xf numFmtId="412" fontId="3" fillId="0" borderId="0" xfId="0" applyFont="1" applyNumberFormat="1"/>
    <xf numFmtId="413" fontId="3" fillId="0" borderId="0" xfId="0" applyFont="1" applyNumberFormat="1"/>
    <xf numFmtId="414" fontId="3" fillId="0" borderId="0" xfId="0" applyFont="1" applyNumberFormat="1"/>
    <xf numFmtId="415" fontId="3" fillId="0" borderId="0" xfId="0" applyFont="1" applyNumberFormat="1"/>
    <xf numFmtId="416" fontId="3" fillId="0" borderId="0" xfId="0" applyFont="1" applyNumberFormat="1"/>
    <xf numFmtId="417" fontId="3" fillId="0" borderId="0" xfId="0" applyFont="1" applyNumberFormat="1"/>
    <xf numFmtId="418" fontId="3" fillId="0" borderId="0" xfId="0" applyFont="1" applyNumberFormat="1"/>
    <xf numFmtId="419" fontId="3" fillId="0" borderId="0" xfId="0" applyFont="1" applyNumberFormat="1"/>
    <xf numFmtId="420" fontId="3" fillId="0" borderId="0" xfId="0" applyFont="1" applyNumberFormat="1"/>
    <xf numFmtId="421" fontId="3" fillId="0" borderId="0" xfId="0" applyFont="1" applyNumberFormat="1"/>
    <xf numFmtId="422" fontId="3" fillId="0" borderId="0" xfId="0" applyFont="1" applyNumberFormat="1"/>
    <xf numFmtId="423" fontId="3" fillId="0" borderId="0" xfId="0" applyFont="1" applyNumberFormat="1"/>
    <xf numFmtId="424" fontId="3" fillId="0" borderId="0" xfId="0" applyFont="1" applyNumberFormat="1"/>
    <xf numFmtId="425" fontId="3" fillId="0" borderId="0" xfId="0" applyFont="1" applyNumberFormat="1"/>
    <xf numFmtId="426" fontId="3" fillId="0" borderId="0" xfId="0" applyFont="1" applyNumberFormat="1"/>
    <xf numFmtId="427" fontId="3" fillId="0" borderId="0" xfId="0" applyFont="1" applyNumberFormat="1"/>
    <xf numFmtId="428" fontId="6" fillId="0" borderId="0" xfId="0" applyFont="1" applyNumberFormat="1"/>
    <xf numFmtId="429" fontId="6" fillId="0" borderId="0" xfId="0" applyFont="1" applyNumberFormat="1"/>
    <xf numFmtId="430" fontId="3" fillId="0" borderId="0" xfId="0" applyFont="1" applyNumberFormat="1"/>
    <xf numFmtId="431" fontId="3" fillId="0" borderId="0" xfId="0" applyFont="1" applyNumberFormat="1"/>
    <xf numFmtId="432" fontId="6" fillId="0" borderId="0" xfId="0" applyFont="1" applyNumberFormat="1"/>
    <xf numFmtId="433" fontId="6" fillId="0" borderId="0" xfId="0" applyFont="1" applyNumberFormat="1"/>
    <xf numFmtId="434" fontId="3" fillId="0" borderId="0" xfId="0" applyFont="1" applyNumberFormat="1"/>
    <xf numFmtId="435" fontId="3" fillId="0" borderId="0" xfId="0" applyFont="1" applyNumberFormat="1"/>
    <xf numFmtId="436" fontId="7" fillId="3" borderId="0" xfId="0" applyFont="1" applyNumberFormat="1" applyFill="1"/>
    <xf numFmtId="437" fontId="5" fillId="0" borderId="0" xfId="0" applyFont="1" applyNumberFormat="1"/>
    <xf numFmtId="438" fontId="3" fillId="0" borderId="0" xfId="0" applyFont="1" applyNumberFormat="1"/>
    <xf numFmtId="439" fontId="5" fillId="0" borderId="0" xfId="0" applyFont="1" applyNumberFormat="1"/>
    <xf numFmtId="440" fontId="3" fillId="0" borderId="0" xfId="0" applyFont="1" applyNumberFormat="1"/>
    <xf numFmtId="441" fontId="4" fillId="0" borderId="0" xfId="0" applyFont="1" applyNumberFormat="1"/>
    <xf numFmtId="442" fontId="4" fillId="0" borderId="0" xfId="0" applyFont="1" applyNumberFormat="1"/>
    <xf numFmtId="443" fontId="6" fillId="0" borderId="0" xfId="0" applyFont="1" applyNumberFormat="1"/>
    <xf numFmtId="444" fontId="6" fillId="0" borderId="0" xfId="0" applyFont="1" applyNumberFormat="1"/>
    <xf numFmtId="445" fontId="3" fillId="0" borderId="0" xfId="0" applyFont="1" applyNumberFormat="1"/>
    <xf numFmtId="446" fontId="6" fillId="0" borderId="0" xfId="0" applyFont="1" applyNumberFormat="1"/>
    <xf numFmtId="447" fontId="6" fillId="0" borderId="0" xfId="0" applyFont="1" applyNumberFormat="1"/>
    <xf numFmtId="448" fontId="6" fillId="0" borderId="0" xfId="0" applyFont="1" applyNumberFormat="1"/>
    <xf numFmtId="449" fontId="3" fillId="0" borderId="0" xfId="0" applyFont="1" applyNumberFormat="1"/>
    <xf numFmtId="450" fontId="6" fillId="0" borderId="0" xfId="0" applyFont="1" applyNumberFormat="1"/>
    <xf numFmtId="451" fontId="6" fillId="0" borderId="0" xfId="0" applyFont="1" applyNumberFormat="1"/>
    <xf numFmtId="452" fontId="6" fillId="0" borderId="0" xfId="0" applyFont="1" applyNumberFormat="1"/>
    <xf numFmtId="453" fontId="3" fillId="0" borderId="0" xfId="0" applyFont="1" applyNumberFormat="1"/>
    <xf numFmtId="454" fontId="6" fillId="0" borderId="0" xfId="0" applyFont="1" applyNumberFormat="1"/>
    <xf numFmtId="455" fontId="6" fillId="0" borderId="0" xfId="0" applyFont="1" applyNumberFormat="1"/>
    <xf numFmtId="456" fontId="6" fillId="0" borderId="0" xfId="0" applyFont="1" applyNumberFormat="1"/>
    <xf numFmtId="457" fontId="3" fillId="0" borderId="0" xfId="0" applyFont="1" applyNumberFormat="1"/>
    <xf numFmtId="458" fontId="6" fillId="0" borderId="0" xfId="0" applyFont="1" applyNumberFormat="1"/>
    <xf numFmtId="459" fontId="6" fillId="0" borderId="0" xfId="0" applyFont="1" applyNumberFormat="1"/>
    <xf numFmtId="460" fontId="6" fillId="0" borderId="0" xfId="0" applyFont="1" applyNumberFormat="1"/>
    <xf numFmtId="461" fontId="3" fillId="0" borderId="0" xfId="0" applyFont="1" applyNumberFormat="1"/>
    <xf numFmtId="462" fontId="6" fillId="0" borderId="0" xfId="0" applyFont="1" applyNumberFormat="1"/>
    <xf numFmtId="463" fontId="6" fillId="0" borderId="0" xfId="0" applyFont="1" applyNumberFormat="1"/>
    <xf numFmtId="464" fontId="6" fillId="0" borderId="0" xfId="0" applyFont="1" applyNumberFormat="1"/>
    <xf numFmtId="465" fontId="3" fillId="0" borderId="0" xfId="0" applyFont="1" applyNumberFormat="1"/>
    <xf numFmtId="466" fontId="6" fillId="0" borderId="0" xfId="0" applyFont="1" applyNumberFormat="1"/>
    <xf numFmtId="467" fontId="5" fillId="0" borderId="0" xfId="0" applyFont="1" applyNumberFormat="1"/>
    <xf numFmtId="468" fontId="5" fillId="0" borderId="0" xfId="0" applyFont="1" applyNumberFormat="1"/>
    <xf numFmtId="469" fontId="5" fillId="0" borderId="0" xfId="0" applyFont="1" applyNumberFormat="1"/>
    <xf numFmtId="470" fontId="5" fillId="0" borderId="0" xfId="0" applyFont="1" applyNumberFormat="1"/>
    <xf numFmtId="471" fontId="5" fillId="0" borderId="0" xfId="0" applyFont="1" applyNumberFormat="1"/>
    <xf numFmtId="472" fontId="5" fillId="0" borderId="0" xfId="0" applyFont="1" applyNumberFormat="1"/>
    <xf numFmtId="473" fontId="5" fillId="0" borderId="0" xfId="0" applyFont="1" applyNumberFormat="1"/>
    <xf numFmtId="474" fontId="5" fillId="0" borderId="0" xfId="0" applyFont="1" applyNumberFormat="1"/>
    <xf numFmtId="475" fontId="5" fillId="0" borderId="0" xfId="0" applyFont="1" applyNumberFormat="1"/>
    <xf numFmtId="476" fontId="5" fillId="0" borderId="0" xfId="0" applyFont="1" applyNumberFormat="1"/>
    <xf numFmtId="477" fontId="5" fillId="0" borderId="0" xfId="0" applyFont="1" applyNumberFormat="1"/>
    <xf numFmtId="478" fontId="5" fillId="0" borderId="0" xfId="0" applyFont="1" applyNumberFormat="1"/>
    <xf numFmtId="479" fontId="5" fillId="0" borderId="0" xfId="0" applyFont="1" applyNumberFormat="1"/>
    <xf numFmtId="480" fontId="5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  <row r="6">
      <c r="A6" s="3" t="s">
        <v>5</v>
      </c>
    </row>
    <row r="7">
      <c r="A7" s="3" t="s">
        <v>2</v>
      </c>
    </row>
    <row r="8">
      <c r="A8" s="4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2</v>
      </c>
    </row>
    <row r="14">
      <c r="A14" s="4" t="s">
        <v>11</v>
      </c>
    </row>
    <row r="15">
      <c r="A15" s="3" t="s">
        <v>12</v>
      </c>
    </row>
    <row r="16">
      <c r="A16" s="3" t="s">
        <v>13</v>
      </c>
    </row>
    <row r="17">
      <c r="A17" s="3" t="s">
        <v>14</v>
      </c>
    </row>
    <row r="18">
      <c r="A18" s="3" t="s">
        <v>15</v>
      </c>
    </row>
    <row r="19">
      <c r="A19" s="3" t="s">
        <v>16</v>
      </c>
    </row>
    <row r="20">
      <c r="A20" s="3" t="s">
        <v>17</v>
      </c>
    </row>
    <row r="21">
      <c r="A21" s="3" t="s">
        <v>18</v>
      </c>
    </row>
    <row r="22">
      <c r="A22" s="2" t="s">
        <v>19</v>
      </c>
    </row>
    <row r="23">
      <c r="A23" s="3" t="s">
        <v>2</v>
      </c>
    </row>
    <row r="24">
      <c r="A24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0.71" hidden="0" customWidth="1"/>
    <col min="3" max="3" width="12.71" hidden="0" customWidth="1"/>
    <col min="4" max="4" width="13.71" hidden="0" customWidth="1"/>
    <col min="5" max="5" width="12.71" hidden="0" customWidth="1"/>
    <col min="6" max="6" width="16.71" hidden="0" customWidth="1"/>
    <col min="7" max="7" width="16.71" hidden="0" customWidth="1"/>
    <col min="8" max="8" width="18.71" hidden="0" customWidth="1"/>
    <col min="9" max="9" width="16.71" hidden="0" customWidth="1"/>
    <col min="10" max="10" width="48.71" hidden="0" customWidth="1"/>
  </cols>
  <sheetData>
    <row r="1">
      <c r="A1" s="1" t="s">
        <v>21</v>
      </c>
    </row>
    <row r="2">
      <c r="A2" s="2" t="s">
        <v>22</v>
      </c>
    </row>
    <row r="4">
      <c r="A4" s="4" t="s">
        <v>23</v>
      </c>
    </row>
    <row r="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6" t="s">
        <v>33</v>
      </c>
    </row>
    <row r="6">
      <c r="A6" s="3" t="s">
        <v>34</v>
      </c>
      <c r="B6" s="3" t="s">
        <v>35</v>
      </c>
      <c r="C6" s="3" t="s">
        <v>36</v>
      </c>
      <c r="D6" s="7" t="n">
        <v>25.121</v>
      </c>
      <c r="E6" s="8" t="n">
        <v>0.8</v>
      </c>
      <c r="F6" s="9" t="n">
        <v>200000</v>
      </c>
      <c r="G6" s="10" t="n">
        <v>37748</v>
      </c>
      <c r="H6" s="11" t="str">
        <f>IF(C6="coal",E6-$C$24,0)</f>
      </c>
      <c r="I6" s="12" t="str">
        <f>IF(C6="alt_fuel",D6,0)</f>
      </c>
      <c r="J6" s="2" t="s">
        <v>37</v>
      </c>
    </row>
    <row r="7">
      <c r="A7" s="3" t="s">
        <v>38</v>
      </c>
      <c r="B7" s="3" t="s">
        <v>39</v>
      </c>
      <c r="C7" s="3" t="s">
        <v>36</v>
      </c>
      <c r="D7" s="13" t="n">
        <v>23.204</v>
      </c>
      <c r="E7" s="14" t="n">
        <v>4.9</v>
      </c>
      <c r="F7" s="15" t="n">
        <v>300000</v>
      </c>
      <c r="G7" s="16" t="n">
        <v>30123</v>
      </c>
      <c r="H7" s="17" t="str">
        <f>IF(C7="coal",E7-$C$24,0)</f>
      </c>
      <c r="I7" s="18" t="str">
        <f>IF(C7="alt_fuel",D7,0)</f>
      </c>
      <c r="J7" s="2" t="s">
        <v>37</v>
      </c>
    </row>
    <row r="8">
      <c r="A8" s="3" t="s">
        <v>40</v>
      </c>
      <c r="B8" s="3" t="s">
        <v>41</v>
      </c>
      <c r="C8" s="3" t="s">
        <v>36</v>
      </c>
      <c r="D8" s="19" t="n">
        <v>18.735</v>
      </c>
      <c r="E8" s="20" t="n">
        <v>5.32</v>
      </c>
      <c r="F8" s="21" t="n">
        <v>300000</v>
      </c>
      <c r="G8" s="22" t="n">
        <v>24322</v>
      </c>
      <c r="H8" s="23" t="str">
        <f>IF(C8="coal",E8-$C$24,0)</f>
      </c>
      <c r="I8" s="24" t="str">
        <f>IF(C8="alt_fuel",D8,0)</f>
      </c>
      <c r="J8" s="2" t="s">
        <v>37</v>
      </c>
    </row>
    <row r="9">
      <c r="A9" s="3" t="s">
        <v>42</v>
      </c>
      <c r="B9" s="3" t="s">
        <v>43</v>
      </c>
      <c r="C9" s="3" t="s">
        <v>36</v>
      </c>
      <c r="D9" s="25" t="n">
        <v>23.701</v>
      </c>
      <c r="E9" s="26" t="n">
        <v>0.8</v>
      </c>
      <c r="F9" s="27" t="n">
        <v>1000000</v>
      </c>
      <c r="G9" s="28" t="n">
        <v>34672</v>
      </c>
      <c r="H9" s="29" t="str">
        <f>IF(C9="coal",E9-$C$24,0)</f>
      </c>
      <c r="I9" s="30" t="str">
        <f>IF(C9="alt_fuel",D9,0)</f>
      </c>
      <c r="J9" s="2" t="s">
        <v>37</v>
      </c>
    </row>
    <row r="10">
      <c r="A10" s="3" t="s">
        <v>44</v>
      </c>
      <c r="B10" s="3" t="s">
        <v>45</v>
      </c>
      <c r="C10" s="3" t="s">
        <v>46</v>
      </c>
      <c r="D10" s="31" t="n">
        <v>12.267</v>
      </c>
      <c r="E10" s="32" t="n">
        <v>0.11</v>
      </c>
      <c r="F10" s="33" t="n">
        <v>100000</v>
      </c>
      <c r="G10" s="34" t="n">
        <v>12000</v>
      </c>
      <c r="H10" s="35" t="str">
        <f>IF(C10="coal",E10-$C$24,0)</f>
      </c>
      <c r="I10" s="36" t="str">
        <f>IF(C10="alt_fuel",D10,0)</f>
      </c>
      <c r="J10" s="2" t="s">
        <v>47</v>
      </c>
    </row>
    <row r="11">
      <c r="A11" s="3" t="s">
        <v>48</v>
      </c>
      <c r="B11" s="3" t="s">
        <v>49</v>
      </c>
      <c r="C11" s="3" t="s">
        <v>46</v>
      </c>
      <c r="D11" s="37" t="n">
        <v>35.15</v>
      </c>
      <c r="E11" s="38" t="n">
        <v>1.57</v>
      </c>
      <c r="F11" s="39" t="n">
        <v>15000</v>
      </c>
      <c r="G11" s="40" t="n">
        <v>20000</v>
      </c>
      <c r="H11" s="41" t="str">
        <f>IF(C11="coal",E11-$C$24,0)</f>
      </c>
      <c r="I11" s="42" t="str">
        <f>IF(C11="alt_fuel",D11,0)</f>
      </c>
      <c r="J11" s="2" t="s">
        <v>47</v>
      </c>
    </row>
    <row r="13">
      <c r="A13" s="4" t="s">
        <v>50</v>
      </c>
    </row>
    <row r="14">
      <c r="A14" s="6" t="s">
        <v>24</v>
      </c>
      <c r="B14" s="6" t="s">
        <v>51</v>
      </c>
      <c r="C14" s="6" t="s">
        <v>52</v>
      </c>
      <c r="D14" s="6" t="s">
        <v>53</v>
      </c>
      <c r="E14" s="6" t="s">
        <v>54</v>
      </c>
    </row>
    <row r="15">
      <c r="A15" s="3" t="s">
        <v>55</v>
      </c>
      <c r="B15" s="3" t="s">
        <v>56</v>
      </c>
      <c r="C15" s="43" t="n">
        <v>11865</v>
      </c>
      <c r="D15" s="44" t="n">
        <v>1565727</v>
      </c>
      <c r="E15" s="45" t="n">
        <v>4743342</v>
      </c>
    </row>
    <row r="16">
      <c r="A16" s="3" t="s">
        <v>57</v>
      </c>
      <c r="B16" s="3" t="s">
        <v>58</v>
      </c>
      <c r="C16" s="46" t="n">
        <v>3675</v>
      </c>
      <c r="D16" s="47" t="n">
        <v>484960</v>
      </c>
      <c r="E16" s="48" t="n">
        <v>1469178</v>
      </c>
    </row>
    <row r="17">
      <c r="A17" s="3" t="s">
        <v>59</v>
      </c>
      <c r="B17" s="3" t="s">
        <v>60</v>
      </c>
      <c r="C17" s="49" t="n">
        <v>12495</v>
      </c>
      <c r="D17" s="50" t="n">
        <v>1648863</v>
      </c>
      <c r="E17" s="51" t="n">
        <v>4995201</v>
      </c>
    </row>
    <row r="18">
      <c r="A18" s="3" t="s">
        <v>61</v>
      </c>
      <c r="B18" s="3" t="s">
        <v>62</v>
      </c>
      <c r="C18" s="52" t="n">
        <v>6825</v>
      </c>
      <c r="D18" s="53" t="n">
        <v>900639</v>
      </c>
      <c r="E18" s="54" t="n">
        <v>2728470</v>
      </c>
    </row>
    <row r="19">
      <c r="B19" s="4" t="s">
        <v>63</v>
      </c>
      <c r="E19" s="55" t="str">
        <f>SUM(E15:E18)</f>
      </c>
    </row>
    <row r="21">
      <c r="A21" s="4" t="s">
        <v>64</v>
      </c>
    </row>
    <row r="22">
      <c r="A22" s="6" t="s">
        <v>65</v>
      </c>
      <c r="B22" s="6" t="s">
        <v>2</v>
      </c>
      <c r="C22" s="6" t="s">
        <v>66</v>
      </c>
      <c r="D22" s="6" t="s">
        <v>67</v>
      </c>
      <c r="E22" s="6" t="s">
        <v>68</v>
      </c>
    </row>
    <row r="23">
      <c r="A23" s="3" t="s">
        <v>69</v>
      </c>
      <c r="C23" s="56" t="n">
        <v>1</v>
      </c>
      <c r="D23" s="3" t="s">
        <v>70</v>
      </c>
      <c r="E23" s="2" t="s">
        <v>71</v>
      </c>
    </row>
    <row r="24">
      <c r="A24" s="3" t="s">
        <v>72</v>
      </c>
      <c r="C24" s="57" t="str">
        <f>SUMPRODUCT(C30:C33,E6:E9)</f>
      </c>
      <c r="D24" s="3" t="s">
        <v>73</v>
      </c>
      <c r="E24" s="2" t="s">
        <v>74</v>
      </c>
    </row>
    <row r="25">
      <c r="A25" s="3" t="s">
        <v>75</v>
      </c>
      <c r="C25" s="58" t="n">
        <v>0.15</v>
      </c>
      <c r="D25" s="3" t="s">
        <v>76</v>
      </c>
      <c r="E25" s="2" t="s">
        <v>77</v>
      </c>
    </row>
    <row r="28">
      <c r="A28" s="3" t="s">
        <v>78</v>
      </c>
      <c r="C28" s="59" t="n">
        <v>0.094</v>
      </c>
      <c r="D28" s="3" t="s">
        <v>76</v>
      </c>
      <c r="E28" s="2" t="s">
        <v>79</v>
      </c>
    </row>
    <row r="29">
      <c r="A29" s="3" t="s">
        <v>80</v>
      </c>
      <c r="C29" s="60" t="n">
        <v>0.25982816</v>
      </c>
      <c r="D29" s="3" t="s">
        <v>76</v>
      </c>
      <c r="E29" s="2" t="s">
        <v>81</v>
      </c>
    </row>
    <row r="30">
      <c r="A30" s="3" t="s">
        <v>82</v>
      </c>
      <c r="C30" s="61" t="n">
        <v>0.25</v>
      </c>
      <c r="D30" s="3" t="s">
        <v>83</v>
      </c>
      <c r="E30" s="2" t="s">
        <v>84</v>
      </c>
    </row>
    <row r="31">
      <c r="A31" s="3" t="s">
        <v>85</v>
      </c>
      <c r="C31" s="62" t="n">
        <v>0.375</v>
      </c>
      <c r="D31" s="3" t="s">
        <v>83</v>
      </c>
      <c r="E31" s="2" t="s">
        <v>86</v>
      </c>
    </row>
    <row r="32">
      <c r="A32" s="3" t="s">
        <v>87</v>
      </c>
      <c r="C32" s="63" t="n">
        <v>0.375</v>
      </c>
      <c r="D32" s="3" t="s">
        <v>83</v>
      </c>
      <c r="E32" s="2" t="s">
        <v>86</v>
      </c>
    </row>
    <row r="33">
      <c r="A33" s="3" t="s">
        <v>88</v>
      </c>
      <c r="C33" s="64" t="n">
        <v>0</v>
      </c>
      <c r="D33" s="3" t="s">
        <v>83</v>
      </c>
      <c r="E33" s="2" t="s">
        <v>89</v>
      </c>
    </row>
    <row r="35">
      <c r="A35" s="4" t="s">
        <v>90</v>
      </c>
    </row>
    <row r="36">
      <c r="A36" s="6" t="s">
        <v>25</v>
      </c>
      <c r="B36" s="6" t="s">
        <v>55</v>
      </c>
      <c r="C36" s="6" t="s">
        <v>57</v>
      </c>
      <c r="D36" s="6" t="s">
        <v>59</v>
      </c>
      <c r="E36" s="6" t="s">
        <v>61</v>
      </c>
    </row>
    <row r="37">
      <c r="A37" s="3" t="s">
        <v>34</v>
      </c>
      <c r="B37" s="65" t="n">
        <v>1407</v>
      </c>
      <c r="C37" s="67" t="n">
        <v>1501</v>
      </c>
      <c r="D37" s="69" t="n">
        <v>850</v>
      </c>
      <c r="E37" s="71" t="n">
        <v>4104</v>
      </c>
    </row>
    <row r="38">
      <c r="A38" s="3" t="s">
        <v>38</v>
      </c>
      <c r="B38" s="73" t="n">
        <v>4857</v>
      </c>
      <c r="C38" s="75" t="n">
        <v>5101</v>
      </c>
      <c r="D38" s="77" t="n">
        <v>4672</v>
      </c>
      <c r="E38" s="79" t="n">
        <v>1792</v>
      </c>
    </row>
    <row r="39">
      <c r="A39" s="3" t="s">
        <v>40</v>
      </c>
      <c r="B39" s="81" t="n">
        <v>891</v>
      </c>
      <c r="C39" s="83" t="n">
        <v>1033</v>
      </c>
      <c r="D39" s="85" t="n">
        <v>1333</v>
      </c>
      <c r="E39" s="87" t="n">
        <v>3338</v>
      </c>
    </row>
    <row r="40">
      <c r="A40" s="3" t="s">
        <v>42</v>
      </c>
      <c r="B40" s="89" t="n">
        <v>9932</v>
      </c>
      <c r="C40" s="91" t="n">
        <v>10171</v>
      </c>
      <c r="D40" s="93" t="n">
        <v>9897</v>
      </c>
      <c r="E40" s="95" t="n">
        <v>6031</v>
      </c>
    </row>
    <row r="41">
      <c r="A41" s="3" t="s">
        <v>44</v>
      </c>
      <c r="B41" s="97" t="n">
        <v>0</v>
      </c>
      <c r="C41" s="99" t="n">
        <v>0</v>
      </c>
      <c r="D41" s="101" t="n">
        <v>0</v>
      </c>
      <c r="E41" s="103" t="n">
        <v>0</v>
      </c>
    </row>
    <row r="42">
      <c r="A42" s="3" t="s">
        <v>48</v>
      </c>
      <c r="B42" s="105" t="n">
        <v>0</v>
      </c>
      <c r="C42" s="107" t="n">
        <v>0</v>
      </c>
      <c r="D42" s="109" t="n">
        <v>0</v>
      </c>
      <c r="E42" s="111" t="n">
        <v>0</v>
      </c>
    </row>
    <row r="44">
      <c r="A44" s="4" t="s">
        <v>91</v>
      </c>
    </row>
    <row r="45">
      <c r="A45" s="6" t="s">
        <v>25</v>
      </c>
      <c r="B45" s="6" t="s">
        <v>55</v>
      </c>
      <c r="C45" s="6" t="s">
        <v>57</v>
      </c>
      <c r="D45" s="6" t="s">
        <v>59</v>
      </c>
      <c r="E45" s="6" t="s">
        <v>61</v>
      </c>
    </row>
    <row r="46">
      <c r="A46" s="3" t="s">
        <v>34</v>
      </c>
      <c r="B46" s="66" t="str">
        <f>$G6+B37*$C$23</f>
      </c>
      <c r="C46" s="68" t="str">
        <f>$G6+C37*$C$23</f>
      </c>
      <c r="D46" s="70" t="str">
        <f>$G6+D37*$C$23</f>
      </c>
      <c r="E46" s="72" t="str">
        <f>$G6+E37*$C$23</f>
      </c>
    </row>
    <row r="47">
      <c r="A47" s="3" t="s">
        <v>38</v>
      </c>
      <c r="B47" s="74" t="str">
        <f>$G7+B38*$C$23</f>
      </c>
      <c r="C47" s="76" t="str">
        <f>$G7+C38*$C$23</f>
      </c>
      <c r="D47" s="78" t="str">
        <f>$G7+D38*$C$23</f>
      </c>
      <c r="E47" s="80" t="str">
        <f>$G7+E38*$C$23</f>
      </c>
    </row>
    <row r="48">
      <c r="A48" s="3" t="s">
        <v>40</v>
      </c>
      <c r="B48" s="82" t="str">
        <f>$G8+B39*$C$23</f>
      </c>
      <c r="C48" s="84" t="str">
        <f>$G8+C39*$C$23</f>
      </c>
      <c r="D48" s="86" t="str">
        <f>$G8+D39*$C$23</f>
      </c>
      <c r="E48" s="88" t="str">
        <f>$G8+E39*$C$23</f>
      </c>
    </row>
    <row r="49">
      <c r="A49" s="3" t="s">
        <v>42</v>
      </c>
      <c r="B49" s="90" t="str">
        <f>$G9+B40*$C$23</f>
      </c>
      <c r="C49" s="92" t="str">
        <f>$G9+C40*$C$23</f>
      </c>
      <c r="D49" s="94" t="str">
        <f>$G9+D40*$C$23</f>
      </c>
      <c r="E49" s="96" t="str">
        <f>$G9+E40*$C$23</f>
      </c>
    </row>
    <row r="50">
      <c r="A50" s="3" t="s">
        <v>44</v>
      </c>
      <c r="B50" s="98" t="str">
        <f>$G10+B41*$C$23</f>
      </c>
      <c r="C50" s="100" t="str">
        <f>$G10+C41*$C$23</f>
      </c>
      <c r="D50" s="102" t="str">
        <f>$G10+D41*$C$23</f>
      </c>
      <c r="E50" s="104" t="str">
        <f>$G10+E41*$C$23</f>
      </c>
    </row>
    <row r="51">
      <c r="A51" s="3" t="s">
        <v>48</v>
      </c>
      <c r="B51" s="106" t="str">
        <f>$G11+B42*$C$23</f>
      </c>
      <c r="C51" s="108" t="str">
        <f>$G11+C42*$C$23</f>
      </c>
      <c r="D51" s="110" t="str">
        <f>$G11+D42*$C$23</f>
      </c>
      <c r="E51" s="112" t="str">
        <f>$G11+E42*$C$23</f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4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92</v>
      </c>
    </row>
    <row r="2">
      <c r="A2" s="2" t="s">
        <v>93</v>
      </c>
    </row>
    <row r="4">
      <c r="A4" s="6" t="s">
        <v>94</v>
      </c>
      <c r="B4" s="6" t="s">
        <v>55</v>
      </c>
      <c r="C4" s="6" t="s">
        <v>57</v>
      </c>
      <c r="D4" s="6" t="s">
        <v>59</v>
      </c>
      <c r="E4" s="6" t="s">
        <v>61</v>
      </c>
      <c r="F4" s="6" t="s">
        <v>95</v>
      </c>
      <c r="G4" s="6" t="s">
        <v>96</v>
      </c>
      <c r="H4" s="6" t="s">
        <v>97</v>
      </c>
    </row>
    <row r="5">
      <c r="A5" s="113" t="str">
        <f>Inputs!B6</f>
      </c>
      <c r="B5" s="167" t="n">
        <v>55874.722</v>
      </c>
      <c r="C5" s="168" t="n">
        <v>17306.345</v>
      </c>
      <c r="D5" s="169" t="n">
        <v>54413.266</v>
      </c>
      <c r="E5" s="170" t="n">
        <v>23799.743</v>
      </c>
      <c r="F5" s="114" t="str">
        <f>SUM(B5:E5)</f>
      </c>
      <c r="G5" s="115" t="str">
        <f>Inputs!F6</f>
      </c>
      <c r="H5" s="116" t="str">
        <f>G5-F5</f>
      </c>
    </row>
    <row r="6">
      <c r="A6" s="113" t="str">
        <f>Inputs!B7</f>
      </c>
      <c r="B6" s="171" t="n">
        <v>0</v>
      </c>
      <c r="C6" s="172" t="n">
        <v>0</v>
      </c>
      <c r="D6" s="173" t="n">
        <v>30200.208</v>
      </c>
      <c r="E6" s="174" t="n">
        <v>88683.193</v>
      </c>
      <c r="F6" s="117" t="str">
        <f>SUM(B6:E6)</f>
      </c>
      <c r="G6" s="118" t="str">
        <f>Inputs!F7</f>
      </c>
      <c r="H6" s="119" t="str">
        <f>G6-F6</f>
      </c>
    </row>
    <row r="7">
      <c r="A7" s="113" t="str">
        <f>Inputs!B8</f>
      </c>
      <c r="B7" s="175" t="n">
        <v>140283.524</v>
      </c>
      <c r="C7" s="176" t="n">
        <v>43450.687</v>
      </c>
      <c r="D7" s="177" t="n">
        <v>116265.789</v>
      </c>
      <c r="E7" s="178" t="n">
        <v>0</v>
      </c>
      <c r="F7" s="120" t="str">
        <f>SUM(B7:E7)</f>
      </c>
      <c r="G7" s="121" t="str">
        <f>Inputs!F8</f>
      </c>
      <c r="H7" s="122" t="str">
        <f>G7-F7</f>
      </c>
    </row>
    <row r="8">
      <c r="A8" s="113" t="str">
        <f>Inputs!B9</f>
      </c>
      <c r="B8" s="179" t="n">
        <v>0</v>
      </c>
      <c r="C8" s="180" t="n">
        <v>0</v>
      </c>
      <c r="D8" s="181" t="n">
        <v>0</v>
      </c>
      <c r="E8" s="182" t="n">
        <v>0</v>
      </c>
      <c r="F8" s="123" t="str">
        <f>SUM(B8:E8)</f>
      </c>
      <c r="G8" s="124" t="str">
        <f>Inputs!F9</f>
      </c>
      <c r="H8" s="125" t="str">
        <f>G8-F8</f>
      </c>
    </row>
    <row r="9">
      <c r="A9" s="113" t="str">
        <f>Inputs!B10</f>
      </c>
      <c r="B9" s="183" t="n">
        <v>38919.039</v>
      </c>
      <c r="C9" s="184" t="n">
        <v>0</v>
      </c>
      <c r="D9" s="185" t="n">
        <v>61080.961</v>
      </c>
      <c r="E9" s="186" t="n">
        <v>0</v>
      </c>
      <c r="F9" s="126" t="str">
        <f>SUM(B9:E9)</f>
      </c>
      <c r="G9" s="127" t="str">
        <f>Inputs!F10</f>
      </c>
      <c r="H9" s="128" t="str">
        <f>G9-F9</f>
      </c>
    </row>
    <row r="10">
      <c r="A10" s="113" t="str">
        <f>Inputs!B11</f>
      </c>
      <c r="B10" s="187" t="n">
        <v>6659.501</v>
      </c>
      <c r="C10" s="188" t="n">
        <v>6269.607</v>
      </c>
      <c r="D10" s="189" t="n">
        <v>0</v>
      </c>
      <c r="E10" s="190" t="n">
        <v>2070.892</v>
      </c>
      <c r="F10" s="129" t="str">
        <f>SUM(B10:E10)</f>
      </c>
      <c r="G10" s="130" t="str">
        <f>Inputs!F11</f>
      </c>
      <c r="H10" s="131" t="str">
        <f>G10-F10</f>
      </c>
    </row>
    <row r="12">
      <c r="A12" s="4" t="s">
        <v>98</v>
      </c>
    </row>
    <row r="13">
      <c r="A13" s="132" t="s">
        <v>99</v>
      </c>
      <c r="B13" s="133" t="str">
        <f>SUMPRODUCT(Inputs!$B$46:$E$51,B5:E10)</f>
      </c>
    </row>
    <row r="14">
      <c r="A14" s="3" t="s">
        <v>100</v>
      </c>
      <c r="B14" s="134" t="str">
        <f>B13/Inputs!E19</f>
      </c>
    </row>
    <row r="16">
      <c r="A16" s="6" t="s">
        <v>101</v>
      </c>
      <c r="B16" s="6" t="s">
        <v>55</v>
      </c>
      <c r="C16" s="6" t="s">
        <v>57</v>
      </c>
      <c r="D16" s="6" t="s">
        <v>59</v>
      </c>
      <c r="E16" s="6" t="s">
        <v>61</v>
      </c>
    </row>
    <row r="17">
      <c r="A17" s="3" t="s">
        <v>102</v>
      </c>
      <c r="B17" s="135" t="str">
        <f>SUMPRODUCT(Inputs!$D$6:$D$11,B5:B10)</f>
      </c>
      <c r="C17" s="143" t="str">
        <f>SUMPRODUCT(Inputs!$D$6:$D$11,C5:C10)</f>
      </c>
      <c r="D17" s="151" t="str">
        <f>SUMPRODUCT(Inputs!$D$6:$D$11,D5:D10)</f>
      </c>
      <c r="E17" s="159" t="str">
        <f>SUMPRODUCT(Inputs!$D$6:$D$11,E5:E10)</f>
      </c>
    </row>
    <row r="18">
      <c r="A18" s="3" t="s">
        <v>54</v>
      </c>
      <c r="B18" s="136" t="str">
        <f>Inputs!$E$15</f>
      </c>
      <c r="C18" s="144" t="str">
        <f>Inputs!$E$16</f>
      </c>
      <c r="D18" s="152" t="str">
        <f>Inputs!$E$17</f>
      </c>
      <c r="E18" s="160" t="str">
        <f>Inputs!$E$18</f>
      </c>
    </row>
    <row r="19">
      <c r="A19" s="3" t="s">
        <v>103</v>
      </c>
      <c r="B19" s="137" t="str">
        <f>SUMPRODUCT(Inputs!$H$6:$H$11,B5:B10)</f>
      </c>
      <c r="C19" s="145" t="str">
        <f>SUMPRODUCT(Inputs!$H$6:$H$11,C5:C10)</f>
      </c>
      <c r="D19" s="153" t="str">
        <f>SUMPRODUCT(Inputs!$H$6:$H$11,D5:D10)</f>
      </c>
      <c r="E19" s="161" t="str">
        <f>SUMPRODUCT(Inputs!$H$6:$H$11,E5:E10)</f>
      </c>
    </row>
    <row r="20">
      <c r="A20" s="3" t="s">
        <v>104</v>
      </c>
      <c r="B20" s="138" t="str">
        <f>IFERROR(SUMPRODUCT(Inputs!$E$6:$E$9,B5:B8)/SUM(B5:B8),0)</f>
      </c>
      <c r="C20" s="146" t="str">
        <f>IFERROR(SUMPRODUCT(Inputs!$E$6:$E$9,C5:C8)/SUM(C5:C8),0)</f>
      </c>
      <c r="D20" s="154" t="str">
        <f>IFERROR(SUMPRODUCT(Inputs!$E$6:$E$9,D5:D8)/SUM(D5:D8),0)</f>
      </c>
      <c r="E20" s="162" t="str">
        <f>IFERROR(SUMPRODUCT(Inputs!$E$6:$E$9,E5:E8)/SUM(E5:E8),0)</f>
      </c>
    </row>
    <row r="21">
      <c r="A21" s="3" t="s">
        <v>105</v>
      </c>
      <c r="B21" s="139" t="str">
        <f>Inputs!$C$24</f>
      </c>
      <c r="C21" s="147" t="str">
        <f>Inputs!$C$24</f>
      </c>
      <c r="D21" s="155" t="str">
        <f>Inputs!$C$24</f>
      </c>
      <c r="E21" s="163" t="str">
        <f>Inputs!$C$24</f>
      </c>
    </row>
    <row r="22">
      <c r="A22" s="3" t="s">
        <v>106</v>
      </c>
      <c r="B22" s="140" t="str">
        <f>SUMPRODUCT(Inputs!$I$6:$I$11,B5:B10)-Inputs!$C$25*B17</f>
      </c>
      <c r="C22" s="148" t="str">
        <f>SUMPRODUCT(Inputs!$I$6:$I$11,C5:C10)-Inputs!$C$25*C17</f>
      </c>
      <c r="D22" s="156" t="str">
        <f>SUMPRODUCT(Inputs!$I$6:$I$11,D5:D10)-Inputs!$C$25*D17</f>
      </c>
      <c r="E22" s="164" t="str">
        <f>SUMPRODUCT(Inputs!$I$6:$I$11,E5:E10)-Inputs!$C$25*E17</f>
      </c>
    </row>
    <row r="23">
      <c r="A23" s="3" t="s">
        <v>107</v>
      </c>
      <c r="B23" s="141" t="str">
        <f>IFERROR(SUMPRODUCT(Inputs!$I$6:$I$11,B5:B10)/B17,0)</f>
      </c>
      <c r="C23" s="149" t="str">
        <f>IFERROR(SUMPRODUCT(Inputs!$I$6:$I$11,C5:C10)/C17,0)</f>
      </c>
      <c r="D23" s="157" t="str">
        <f>IFERROR(SUMPRODUCT(Inputs!$I$6:$I$11,D5:D10)/D17,0)</f>
      </c>
      <c r="E23" s="165" t="str">
        <f>IFERROR(SUMPRODUCT(Inputs!$I$6:$I$11,E5:E10)/E17,0)</f>
      </c>
    </row>
    <row r="24">
      <c r="A24" s="3" t="s">
        <v>108</v>
      </c>
      <c r="B24" s="142" t="str">
        <f>Inputs!$C$25</f>
      </c>
      <c r="C24" s="150" t="str">
        <f>Inputs!$C$25</f>
      </c>
      <c r="D24" s="158" t="str">
        <f>Inputs!$C$25</f>
      </c>
      <c r="E24" s="166" t="str">
        <f>Inputs!$C$25</f>
      </c>
    </row>
    <row r="25">
      <c r="A25" s="3" t="s">
        <v>109</v>
      </c>
      <c r="B25" s="4" t="str">
        <f>IF(AND(B17&gt;=B18-1,B19&lt;=1,B22&lt;=1),"OK","CHECK")</f>
      </c>
      <c r="C25" s="4" t="str">
        <f>IF(AND(C17&gt;=C18-1,C19&lt;=1,C22&lt;=1),"OK","CHECK")</f>
      </c>
      <c r="D25" s="4" t="str">
        <f>IF(AND(D17&gt;=D18-1,D19&lt;=1,D22&lt;=1),"OK","CHECK")</f>
      </c>
      <c r="E25" s="4" t="str">
        <f>IF(AND(E17&gt;=E18-1,E19&lt;=1,E22&lt;=1),"OK","CHECK")</f>
      </c>
    </row>
    <row r="26">
      <c r="A26" s="3" t="s">
        <v>110</v>
      </c>
      <c r="B26" s="4" t="str">
        <f>IF(MIN(H5:H10)&gt;=-1,"OK","CHECK")</f>
      </c>
    </row>
    <row r="28">
      <c r="A28" s="4" t="s">
        <v>111</v>
      </c>
    </row>
    <row r="29">
      <c r="A29" s="3" t="s">
        <v>112</v>
      </c>
      <c r="B29" s="191" t="n">
        <v>18965941349</v>
      </c>
    </row>
    <row r="30">
      <c r="A30" s="3" t="s">
        <v>113</v>
      </c>
      <c r="B30" s="192" t="str">
        <f>B13-B29</f>
      </c>
    </row>
    <row r="31">
      <c r="A31" s="3" t="s">
        <v>114</v>
      </c>
      <c r="B31" s="193" t="str">
        <f>B30/B29</f>
      </c>
    </row>
    <row r="32">
      <c r="A32" s="2" t="s">
        <v>115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4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116</v>
      </c>
    </row>
    <row r="2">
      <c r="A2" s="2" t="s">
        <v>117</v>
      </c>
    </row>
    <row r="4">
      <c r="A4" s="6" t="s">
        <v>94</v>
      </c>
      <c r="B4" s="6" t="s">
        <v>55</v>
      </c>
      <c r="C4" s="6" t="s">
        <v>57</v>
      </c>
      <c r="D4" s="6" t="s">
        <v>59</v>
      </c>
      <c r="E4" s="6" t="s">
        <v>61</v>
      </c>
      <c r="F4" s="6" t="s">
        <v>95</v>
      </c>
      <c r="G4" s="6" t="s">
        <v>96</v>
      </c>
      <c r="H4" s="6" t="s">
        <v>97</v>
      </c>
    </row>
    <row r="5">
      <c r="A5" s="113" t="str">
        <f>Inputs!B6</f>
      </c>
      <c r="B5" s="247" t="str">
        <f>Inputs!$C$30*Inputs!$E$15*(1-Inputs!$C$28)/$H$13</f>
      </c>
      <c r="C5" s="253" t="str">
        <f>Inputs!$C$30*Inputs!$E$16*(1-Inputs!$C$28)/$H$13</f>
      </c>
      <c r="D5" s="259" t="str">
        <f>Inputs!$C$30*Inputs!$E$17*(1-Inputs!$C$28)/$H$13</f>
      </c>
      <c r="E5" s="265" t="str">
        <f>Inputs!$C$30*Inputs!$E$18*(1-Inputs!$C$28)/$H$13</f>
      </c>
      <c r="F5" s="194" t="str">
        <f>SUM(B5:E5)</f>
      </c>
      <c r="G5" s="195" t="str">
        <f>Inputs!F6</f>
      </c>
      <c r="H5" s="196" t="str">
        <f>G5-F5</f>
      </c>
    </row>
    <row r="6">
      <c r="A6" s="113" t="str">
        <f>Inputs!B7</f>
      </c>
      <c r="B6" s="248" t="str">
        <f>Inputs!$C$31*Inputs!$E$15*(1-Inputs!$C$28)/$H$13</f>
      </c>
      <c r="C6" s="254" t="str">
        <f>Inputs!$C$31*Inputs!$E$16*(1-Inputs!$C$28)/$H$13</f>
      </c>
      <c r="D6" s="260" t="str">
        <f>Inputs!$C$31*Inputs!$E$17*(1-Inputs!$C$28)/$H$13</f>
      </c>
      <c r="E6" s="266" t="str">
        <f>Inputs!$C$31*Inputs!$E$18*(1-Inputs!$C$28)/$H$13</f>
      </c>
      <c r="F6" s="197" t="str">
        <f>SUM(B6:E6)</f>
      </c>
      <c r="G6" s="198" t="str">
        <f>Inputs!F7</f>
      </c>
      <c r="H6" s="199" t="str">
        <f>G6-F6</f>
      </c>
    </row>
    <row r="7">
      <c r="A7" s="113" t="str">
        <f>Inputs!B8</f>
      </c>
      <c r="B7" s="249" t="str">
        <f>Inputs!$C$32*Inputs!$E$15*(1-Inputs!$C$28)/$H$13</f>
      </c>
      <c r="C7" s="255" t="str">
        <f>Inputs!$C$32*Inputs!$E$16*(1-Inputs!$C$28)/$H$13</f>
      </c>
      <c r="D7" s="261" t="str">
        <f>Inputs!$C$32*Inputs!$E$17*(1-Inputs!$C$28)/$H$13</f>
      </c>
      <c r="E7" s="267" t="str">
        <f>Inputs!$C$32*Inputs!$E$18*(1-Inputs!$C$28)/$H$13</f>
      </c>
      <c r="F7" s="200" t="str">
        <f>SUM(B7:E7)</f>
      </c>
      <c r="G7" s="201" t="str">
        <f>Inputs!F8</f>
      </c>
      <c r="H7" s="202" t="str">
        <f>G7-F7</f>
      </c>
    </row>
    <row r="8">
      <c r="A8" s="113" t="str">
        <f>Inputs!B9</f>
      </c>
      <c r="B8" s="250" t="str">
        <f>Inputs!$C$33*Inputs!$E$15*(1-Inputs!$C$28)/$H$13</f>
      </c>
      <c r="C8" s="256" t="str">
        <f>Inputs!$C$33*Inputs!$E$16*(1-Inputs!$C$28)/$H$13</f>
      </c>
      <c r="D8" s="262" t="str">
        <f>Inputs!$C$33*Inputs!$E$17*(1-Inputs!$C$28)/$H$13</f>
      </c>
      <c r="E8" s="268" t="str">
        <f>Inputs!$C$33*Inputs!$E$18*(1-Inputs!$C$28)/$H$13</f>
      </c>
      <c r="F8" s="203" t="str">
        <f>SUM(B8:E8)</f>
      </c>
      <c r="G8" s="204" t="str">
        <f>Inputs!F9</f>
      </c>
      <c r="H8" s="205" t="str">
        <f>G8-F8</f>
      </c>
    </row>
    <row r="9">
      <c r="A9" s="113" t="str">
        <f>Inputs!B10</f>
      </c>
      <c r="B9" s="251" t="str">
        <f>Inputs!$E$15*Inputs!$C$28*(1-Inputs!$C$29)/Inputs!$D$10</f>
      </c>
      <c r="C9" s="257" t="str">
        <f>Inputs!$E$16*Inputs!$C$28*(1-Inputs!$C$29)/Inputs!$D$10</f>
      </c>
      <c r="D9" s="263" t="str">
        <f>Inputs!$E$17*Inputs!$C$28*(1-Inputs!$C$29)/Inputs!$D$10</f>
      </c>
      <c r="E9" s="269" t="str">
        <f>Inputs!$E$18*Inputs!$C$28*(1-Inputs!$C$29)/Inputs!$D$10</f>
      </c>
      <c r="F9" s="206" t="str">
        <f>SUM(B9:E9)</f>
      </c>
      <c r="G9" s="207" t="str">
        <f>Inputs!F10</f>
      </c>
      <c r="H9" s="208" t="str">
        <f>G9-F9</f>
      </c>
    </row>
    <row r="10">
      <c r="A10" s="113" t="str">
        <f>Inputs!B11</f>
      </c>
      <c r="B10" s="252" t="str">
        <f>Inputs!$E$15*Inputs!$C$28*Inputs!$C$29/Inputs!$D$11</f>
      </c>
      <c r="C10" s="258" t="str">
        <f>Inputs!$E$16*Inputs!$C$28*Inputs!$C$29/Inputs!$D$11</f>
      </c>
      <c r="D10" s="264" t="str">
        <f>Inputs!$E$17*Inputs!$C$28*Inputs!$C$29/Inputs!$D$11</f>
      </c>
      <c r="E10" s="270" t="str">
        <f>Inputs!$E$18*Inputs!$C$28*Inputs!$C$29/Inputs!$D$11</f>
      </c>
      <c r="F10" s="209" t="str">
        <f>SUM(B10:E10)</f>
      </c>
      <c r="G10" s="210" t="str">
        <f>Inputs!F11</f>
      </c>
      <c r="H10" s="211" t="str">
        <f>G10-F10</f>
      </c>
    </row>
    <row r="12">
      <c r="A12" s="4" t="s">
        <v>98</v>
      </c>
    </row>
    <row r="13">
      <c r="A13" s="132" t="s">
        <v>99</v>
      </c>
      <c r="B13" s="212" t="str">
        <f>SUMPRODUCT(Inputs!$B$46:$E$51,B5:E10)</f>
      </c>
      <c r="G13" s="3" t="s">
        <v>118</v>
      </c>
      <c r="H13" s="246" t="str">
        <f>SUMPRODUCT(Inputs!$C$30:$C$33,Inputs!$D$6:$D$9)</f>
      </c>
    </row>
    <row r="14">
      <c r="A14" s="3" t="s">
        <v>100</v>
      </c>
      <c r="B14" s="213" t="str">
        <f>B13/Inputs!E19</f>
      </c>
    </row>
    <row r="16">
      <c r="A16" s="6" t="s">
        <v>101</v>
      </c>
      <c r="B16" s="6" t="s">
        <v>55</v>
      </c>
      <c r="C16" s="6" t="s">
        <v>57</v>
      </c>
      <c r="D16" s="6" t="s">
        <v>59</v>
      </c>
      <c r="E16" s="6" t="s">
        <v>61</v>
      </c>
    </row>
    <row r="17">
      <c r="A17" s="3" t="s">
        <v>102</v>
      </c>
      <c r="B17" s="214" t="str">
        <f>SUMPRODUCT(Inputs!$D$6:$D$11,B5:B10)</f>
      </c>
      <c r="C17" s="222" t="str">
        <f>SUMPRODUCT(Inputs!$D$6:$D$11,C5:C10)</f>
      </c>
      <c r="D17" s="230" t="str">
        <f>SUMPRODUCT(Inputs!$D$6:$D$11,D5:D10)</f>
      </c>
      <c r="E17" s="238" t="str">
        <f>SUMPRODUCT(Inputs!$D$6:$D$11,E5:E10)</f>
      </c>
    </row>
    <row r="18">
      <c r="A18" s="3" t="s">
        <v>54</v>
      </c>
      <c r="B18" s="215" t="str">
        <f>Inputs!$E$15</f>
      </c>
      <c r="C18" s="223" t="str">
        <f>Inputs!$E$16</f>
      </c>
      <c r="D18" s="231" t="str">
        <f>Inputs!$E$17</f>
      </c>
      <c r="E18" s="239" t="str">
        <f>Inputs!$E$18</f>
      </c>
    </row>
    <row r="19">
      <c r="A19" s="3" t="s">
        <v>103</v>
      </c>
      <c r="B19" s="216" t="str">
        <f>SUMPRODUCT(Inputs!$H$6:$H$11,B5:B10)</f>
      </c>
      <c r="C19" s="224" t="str">
        <f>SUMPRODUCT(Inputs!$H$6:$H$11,C5:C10)</f>
      </c>
      <c r="D19" s="232" t="str">
        <f>SUMPRODUCT(Inputs!$H$6:$H$11,D5:D10)</f>
      </c>
      <c r="E19" s="240" t="str">
        <f>SUMPRODUCT(Inputs!$H$6:$H$11,E5:E10)</f>
      </c>
    </row>
    <row r="20">
      <c r="A20" s="3" t="s">
        <v>104</v>
      </c>
      <c r="B20" s="217" t="str">
        <f>IFERROR(SUMPRODUCT(Inputs!$E$6:$E$9,B5:B8)/SUM(B5:B8),0)</f>
      </c>
      <c r="C20" s="225" t="str">
        <f>IFERROR(SUMPRODUCT(Inputs!$E$6:$E$9,C5:C8)/SUM(C5:C8),0)</f>
      </c>
      <c r="D20" s="233" t="str">
        <f>IFERROR(SUMPRODUCT(Inputs!$E$6:$E$9,D5:D8)/SUM(D5:D8),0)</f>
      </c>
      <c r="E20" s="241" t="str">
        <f>IFERROR(SUMPRODUCT(Inputs!$E$6:$E$9,E5:E8)/SUM(E5:E8),0)</f>
      </c>
    </row>
    <row r="21">
      <c r="A21" s="3" t="s">
        <v>105</v>
      </c>
      <c r="B21" s="218" t="str">
        <f>Inputs!$C$24</f>
      </c>
      <c r="C21" s="226" t="str">
        <f>Inputs!$C$24</f>
      </c>
      <c r="D21" s="234" t="str">
        <f>Inputs!$C$24</f>
      </c>
      <c r="E21" s="242" t="str">
        <f>Inputs!$C$24</f>
      </c>
    </row>
    <row r="22">
      <c r="A22" s="3" t="s">
        <v>106</v>
      </c>
      <c r="B22" s="219" t="str">
        <f>SUMPRODUCT(Inputs!$I$6:$I$11,B5:B10)-Inputs!$C$25*B17</f>
      </c>
      <c r="C22" s="227" t="str">
        <f>SUMPRODUCT(Inputs!$I$6:$I$11,C5:C10)-Inputs!$C$25*C17</f>
      </c>
      <c r="D22" s="235" t="str">
        <f>SUMPRODUCT(Inputs!$I$6:$I$11,D5:D10)-Inputs!$C$25*D17</f>
      </c>
      <c r="E22" s="243" t="str">
        <f>SUMPRODUCT(Inputs!$I$6:$I$11,E5:E10)-Inputs!$C$25*E17</f>
      </c>
    </row>
    <row r="23">
      <c r="A23" s="3" t="s">
        <v>107</v>
      </c>
      <c r="B23" s="220" t="str">
        <f>IFERROR(SUMPRODUCT(Inputs!$I$6:$I$11,B5:B10)/B17,0)</f>
      </c>
      <c r="C23" s="228" t="str">
        <f>IFERROR(SUMPRODUCT(Inputs!$I$6:$I$11,C5:C10)/C17,0)</f>
      </c>
      <c r="D23" s="236" t="str">
        <f>IFERROR(SUMPRODUCT(Inputs!$I$6:$I$11,D5:D10)/D17,0)</f>
      </c>
      <c r="E23" s="244" t="str">
        <f>IFERROR(SUMPRODUCT(Inputs!$I$6:$I$11,E5:E10)/E17,0)</f>
      </c>
    </row>
    <row r="24">
      <c r="A24" s="3" t="s">
        <v>108</v>
      </c>
      <c r="B24" s="221" t="str">
        <f>Inputs!$C$25</f>
      </c>
      <c r="C24" s="229" t="str">
        <f>Inputs!$C$25</f>
      </c>
      <c r="D24" s="237" t="str">
        <f>Inputs!$C$25</f>
      </c>
      <c r="E24" s="245" t="str">
        <f>Inputs!$C$25</f>
      </c>
    </row>
    <row r="25">
      <c r="A25" s="3" t="s">
        <v>109</v>
      </c>
      <c r="B25" s="4" t="str">
        <f>IF(AND(B17&gt;=B18-1,B19&lt;=1,B22&lt;=1),"OK","CHECK")</f>
      </c>
      <c r="C25" s="4" t="str">
        <f>IF(AND(C17&gt;=C18-1,C19&lt;=1,C22&lt;=1),"OK","CHECK")</f>
      </c>
      <c r="D25" s="4" t="str">
        <f>IF(AND(D17&gt;=D18-1,D19&lt;=1,D22&lt;=1),"OK","CHECK")</f>
      </c>
      <c r="E25" s="4" t="str">
        <f>IF(AND(E17&gt;=E18-1,E19&lt;=1,E22&lt;=1),"OK","CHECK")</f>
      </c>
    </row>
    <row r="26">
      <c r="A26" s="3" t="s">
        <v>110</v>
      </c>
      <c r="B26" s="4" t="str">
        <f>IF(MIN(H5:H10)&gt;=-1,"OK","CHECK")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60.71" hidden="0" customWidth="1"/>
  </cols>
  <sheetData>
    <row r="1">
      <c r="A1" s="1" t="s">
        <v>119</v>
      </c>
    </row>
    <row r="2">
      <c r="A2" s="2" t="s">
        <v>120</v>
      </c>
    </row>
    <row r="4">
      <c r="A4" s="6" t="s">
        <v>121</v>
      </c>
      <c r="B4" s="6" t="s">
        <v>122</v>
      </c>
      <c r="C4" s="6" t="s">
        <v>123</v>
      </c>
      <c r="D4" s="6" t="s">
        <v>124</v>
      </c>
      <c r="E4" s="6" t="s">
        <v>125</v>
      </c>
    </row>
    <row r="5">
      <c r="A5" s="3" t="s">
        <v>99</v>
      </c>
      <c r="B5" s="271" t="str">
        <f>Baseline!B13</f>
      </c>
      <c r="C5" s="272" t="str">
        <f>Model!B13</f>
      </c>
      <c r="D5" s="273" t="str">
        <f>C5-B5</f>
      </c>
      <c r="E5" s="274" t="str">
        <f>D5/B5</f>
      </c>
    </row>
    <row r="6">
      <c r="A6" s="3" t="s">
        <v>100</v>
      </c>
      <c r="B6" s="275" t="str">
        <f>Baseline!B14</f>
      </c>
      <c r="C6" s="276" t="str">
        <f>Model!B14</f>
      </c>
      <c r="D6" s="277" t="str">
        <f>C6-B6</f>
      </c>
      <c r="E6" s="278" t="str">
        <f>D6/B6</f>
      </c>
    </row>
    <row r="7">
      <c r="A7" s="132" t="s">
        <v>126</v>
      </c>
      <c r="B7" s="279" t="str">
        <f>(B5-C5)/B5</f>
      </c>
    </row>
    <row r="9">
      <c r="A9" s="4" t="s">
        <v>127</v>
      </c>
    </row>
    <row r="10">
      <c r="A10" s="3" t="s">
        <v>128</v>
      </c>
      <c r="B10" s="280" t="n">
        <v>471956781</v>
      </c>
      <c r="C10" s="281" t="str">
        <f>B10/$B$5</f>
      </c>
    </row>
    <row r="11">
      <c r="A11" s="3" t="s">
        <v>129</v>
      </c>
      <c r="B11" s="282" t="n">
        <v>321755461</v>
      </c>
      <c r="C11" s="283" t="str">
        <f>B11/$B$5</f>
      </c>
    </row>
    <row r="12">
      <c r="A12" s="3" t="s">
        <v>63</v>
      </c>
      <c r="B12" s="284" t="str">
        <f>B10+B11</f>
      </c>
      <c r="C12" s="285" t="str">
        <f>B12/$B$5</f>
      </c>
    </row>
    <row r="14">
      <c r="A14" s="6" t="s">
        <v>25</v>
      </c>
      <c r="B14" s="6" t="s">
        <v>130</v>
      </c>
      <c r="C14" s="6" t="s">
        <v>131</v>
      </c>
      <c r="D14" s="6" t="s">
        <v>132</v>
      </c>
      <c r="E14" s="6" t="s">
        <v>133</v>
      </c>
    </row>
    <row r="15">
      <c r="A15" s="113" t="str">
        <f>Inputs!B6</f>
      </c>
      <c r="B15" s="286" t="str">
        <f>Baseline!F5</f>
      </c>
      <c r="C15" s="287" t="str">
        <f>Model!F5</f>
      </c>
      <c r="D15" s="288" t="str">
        <f>C15-B15</f>
      </c>
      <c r="E15" s="289" t="str">
        <f>Inputs!F6</f>
      </c>
    </row>
    <row r="16">
      <c r="A16" s="113" t="str">
        <f>Inputs!B7</f>
      </c>
      <c r="B16" s="290" t="str">
        <f>Baseline!F6</f>
      </c>
      <c r="C16" s="291" t="str">
        <f>Model!F6</f>
      </c>
      <c r="D16" s="292" t="str">
        <f>C16-B16</f>
      </c>
      <c r="E16" s="293" t="str">
        <f>Inputs!F7</f>
      </c>
    </row>
    <row r="17">
      <c r="A17" s="113" t="str">
        <f>Inputs!B8</f>
      </c>
      <c r="B17" s="294" t="str">
        <f>Baseline!F7</f>
      </c>
      <c r="C17" s="295" t="str">
        <f>Model!F7</f>
      </c>
      <c r="D17" s="296" t="str">
        <f>C17-B17</f>
      </c>
      <c r="E17" s="297" t="str">
        <f>Inputs!F8</f>
      </c>
    </row>
    <row r="18">
      <c r="A18" s="113" t="str">
        <f>Inputs!B9</f>
      </c>
      <c r="B18" s="298" t="str">
        <f>Baseline!F8</f>
      </c>
      <c r="C18" s="299" t="str">
        <f>Model!F8</f>
      </c>
      <c r="D18" s="300" t="str">
        <f>C18-B18</f>
      </c>
      <c r="E18" s="301" t="str">
        <f>Inputs!F9</f>
      </c>
    </row>
    <row r="19">
      <c r="A19" s="113" t="str">
        <f>Inputs!B10</f>
      </c>
      <c r="B19" s="302" t="str">
        <f>Baseline!F9</f>
      </c>
      <c r="C19" s="303" t="str">
        <f>Model!F9</f>
      </c>
      <c r="D19" s="304" t="str">
        <f>C19-B19</f>
      </c>
      <c r="E19" s="305" t="str">
        <f>Inputs!F10</f>
      </c>
    </row>
    <row r="20">
      <c r="A20" s="113" t="str">
        <f>Inputs!B11</f>
      </c>
      <c r="B20" s="306" t="str">
        <f>Baseline!F10</f>
      </c>
      <c r="C20" s="307" t="str">
        <f>Model!F10</f>
      </c>
      <c r="D20" s="308" t="str">
        <f>C20-B20</f>
      </c>
      <c r="E20" s="309" t="str">
        <f>Inputs!F11</f>
      </c>
    </row>
    <row r="22">
      <c r="A22" s="4" t="s">
        <v>134</v>
      </c>
    </row>
    <row r="23">
      <c r="A23" s="6" t="s">
        <v>135</v>
      </c>
      <c r="B23" s="6" t="s">
        <v>136</v>
      </c>
      <c r="C23" s="6" t="s">
        <v>67</v>
      </c>
      <c r="D23" s="6" t="s">
        <v>2</v>
      </c>
      <c r="E23" s="6" t="s">
        <v>2</v>
      </c>
      <c r="F23" s="6" t="s">
        <v>137</v>
      </c>
    </row>
    <row r="24">
      <c r="A24" s="3" t="s">
        <v>138</v>
      </c>
      <c r="B24" s="310" t="n">
        <v>1491.28</v>
      </c>
      <c r="C24" s="3" t="s">
        <v>139</v>
      </c>
      <c r="F24" s="2" t="s">
        <v>140</v>
      </c>
    </row>
    <row r="25">
      <c r="A25" s="3" t="s">
        <v>141</v>
      </c>
      <c r="B25" s="311" t="n">
        <v>-454.39</v>
      </c>
      <c r="C25" s="3" t="s">
        <v>142</v>
      </c>
      <c r="F25" s="2" t="s">
        <v>143</v>
      </c>
    </row>
    <row r="26">
      <c r="A26" s="3" t="s">
        <v>144</v>
      </c>
      <c r="B26" s="312" t="n">
        <v>-59.35</v>
      </c>
      <c r="C26" s="3" t="s">
        <v>139</v>
      </c>
      <c r="F26" s="2" t="s">
        <v>145</v>
      </c>
    </row>
    <row r="27">
      <c r="A27" s="3" t="s">
        <v>146</v>
      </c>
      <c r="B27" s="313" t="n">
        <v>1496.59</v>
      </c>
      <c r="C27" s="3" t="s">
        <v>139</v>
      </c>
      <c r="F27" s="2" t="s">
        <v>140</v>
      </c>
    </row>
    <row r="28">
      <c r="A28" s="3" t="s">
        <v>147</v>
      </c>
      <c r="B28" s="314" t="n">
        <v>-434.95</v>
      </c>
      <c r="C28" s="3" t="s">
        <v>142</v>
      </c>
      <c r="F28" s="2" t="s">
        <v>143</v>
      </c>
    </row>
    <row r="29">
      <c r="A29" s="3" t="s">
        <v>148</v>
      </c>
      <c r="B29" s="315" t="n">
        <v>-65.6</v>
      </c>
      <c r="C29" s="3" t="s">
        <v>139</v>
      </c>
      <c r="F29" s="2" t="s">
        <v>145</v>
      </c>
    </row>
    <row r="30">
      <c r="A30" s="3" t="s">
        <v>149</v>
      </c>
      <c r="B30" s="316" t="n">
        <v>1497.79</v>
      </c>
      <c r="C30" s="3" t="s">
        <v>139</v>
      </c>
      <c r="F30" s="2" t="s">
        <v>140</v>
      </c>
    </row>
    <row r="31">
      <c r="A31" s="3" t="s">
        <v>150</v>
      </c>
      <c r="B31" s="317" t="n">
        <v>-222.55</v>
      </c>
      <c r="C31" s="3" t="s">
        <v>142</v>
      </c>
      <c r="F31" s="2" t="s">
        <v>143</v>
      </c>
    </row>
    <row r="32">
      <c r="A32" s="3" t="s">
        <v>151</v>
      </c>
      <c r="B32" s="318" t="n">
        <v>-67.01</v>
      </c>
      <c r="C32" s="3" t="s">
        <v>139</v>
      </c>
      <c r="F32" s="2" t="s">
        <v>145</v>
      </c>
    </row>
    <row r="33">
      <c r="A33" s="3" t="s">
        <v>152</v>
      </c>
      <c r="B33" s="319" t="n">
        <v>1440.83</v>
      </c>
      <c r="C33" s="3" t="s">
        <v>139</v>
      </c>
      <c r="F33" s="2" t="s">
        <v>140</v>
      </c>
    </row>
    <row r="34">
      <c r="A34" s="3" t="s">
        <v>153</v>
      </c>
      <c r="B34" s="320" t="n">
        <v>-1749.98</v>
      </c>
      <c r="C34" s="3" t="s">
        <v>142</v>
      </c>
      <c r="F34" s="2" t="s">
        <v>143</v>
      </c>
    </row>
    <row r="35">
      <c r="A35" s="3" t="s">
        <v>154</v>
      </c>
      <c r="B35" s="321" t="n">
        <v>-2307.96</v>
      </c>
      <c r="C35" s="3" t="s">
        <v>155</v>
      </c>
      <c r="F35" s="2" t="s">
        <v>156</v>
      </c>
    </row>
    <row r="36">
      <c r="A36" s="3" t="s">
        <v>157</v>
      </c>
      <c r="B36" s="322" t="n">
        <v>-5674.71</v>
      </c>
      <c r="C36" s="3" t="s">
        <v>155</v>
      </c>
      <c r="F36" s="2" t="s">
        <v>156</v>
      </c>
    </row>
    <row r="37">
      <c r="A37" s="3" t="s">
        <v>158</v>
      </c>
      <c r="B37" s="323" t="n">
        <v>-30645.31</v>
      </c>
      <c r="C37" s="3" t="s">
        <v>155</v>
      </c>
      <c r="F37" s="2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 Haseeb Khan</dc:creator>
  <cp:lastModifiedBy>Abdul Haseeb Khan</cp:lastModifiedBy>
  <dcterms:created xsi:type="dcterms:W3CDTF">2026-10-19T09:35:51Z</dcterms:created>
</coreProperties>
</file>